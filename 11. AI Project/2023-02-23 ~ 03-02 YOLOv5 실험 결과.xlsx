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tcity365.sharepoint.com/sites/AITEMP2/Shared Documents/03. 리 소 스/"/>
    </mc:Choice>
  </mc:AlternateContent>
  <xr:revisionPtr revIDLastSave="2426" documentId="11_9F946A4A33B77EF7021823758CFBE143FA406575" xr6:coauthVersionLast="47" xr6:coauthVersionMax="47" xr10:uidLastSave="{509ED751-3C56-4C8B-AC2A-4E01B33B8E46}"/>
  <bookViews>
    <workbookView xWindow="-108" yWindow="-108" windowWidth="23256" windowHeight="12456" activeTab="4" xr2:uid="{00000000-000D-0000-FFFF-FFFF00000000}"/>
  </bookViews>
  <sheets>
    <sheet name="훈련결과" sheetId="1" r:id="rId1"/>
    <sheet name="230303 모델 훈련 결과 정리" sheetId="8" r:id="rId2"/>
    <sheet name="canva용" sheetId="2" r:id="rId3"/>
    <sheet name="OX대상" sheetId="3" r:id="rId4"/>
    <sheet name="훈련 ㄱ" sheetId="9" r:id="rId5"/>
    <sheet name="데이터셋" sheetId="5" r:id="rId6"/>
    <sheet name="하이퍼파라미터" sheetId="6" r:id="rId7"/>
    <sheet name="cvat 결과" sheetId="7" r:id="rId8"/>
  </sheets>
  <definedNames>
    <definedName name="_xlnm._FilterDatabase" localSheetId="1" hidden="1">'230303 모델 훈련 결과 정리'!$B$2:$F$9</definedName>
    <definedName name="_xlnm._FilterDatabase" localSheetId="2" hidden="1">canva용!$C$1:$J$36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5" l="1"/>
  <c r="P3" i="5"/>
  <c r="G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tc={50A733D2-ECFF-4FD0-9DE5-E0E0A4EB6837}</author>
  </authors>
  <commentList>
    <comment ref="J1" authorId="0" shapeId="0" xr:uid="{50A733D2-ECFF-4FD0-9DE5-E0E0A4EB683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yolov5 폴더 - utils - augmentation.py에서 31번째 줄 부근 가시면 T = [ㅁㅁㅁㅁ] # transform 이라고 써있는 구간이 있습니다.
이 T라고 하는 구간을 통째로 복사하셔서 붙여넣어주시면 됩니다.
주의하실 점은, 셀에 대고 직접하시면 다른 셀에도 영역이 넘어가기 때문에, 셀을 클릭하시고 Excel 상단에 식을 입력하는 f(x)라고 써져있는 긴 칸이 있으니, 그 곳에 붙여넣어 주시면 됩니다.
높이는 고정시켜 두어서 변동은 없을 것으로 보입니다.</t>
      </text>
    </comment>
  </commentList>
</comments>
</file>

<file path=xl/sharedStrings.xml><?xml version="1.0" encoding="utf-8"?>
<sst xmlns="http://schemas.openxmlformats.org/spreadsheetml/2006/main" count="773" uniqueCount="172">
  <si>
    <t>Who?</t>
  </si>
  <si>
    <t>status</t>
  </si>
  <si>
    <t>model</t>
  </si>
  <si>
    <t>lr0</t>
  </si>
  <si>
    <t>epochs</t>
  </si>
  <si>
    <t>batch size</t>
  </si>
  <si>
    <t>optimizer</t>
  </si>
  <si>
    <t>mAP50-95</t>
  </si>
  <si>
    <t>result directory name</t>
  </si>
  <si>
    <t>Augmentation 목록 (기상환경은 무조건 추가)</t>
  </si>
  <si>
    <t>특이사항</t>
  </si>
  <si>
    <t>Mr.YOLO</t>
  </si>
  <si>
    <t>done/ing</t>
  </si>
  <si>
    <t>yolov5n</t>
  </si>
  <si>
    <t>AdamW</t>
  </si>
  <si>
    <t>exp_0209</t>
  </si>
  <si>
    <t>T = [
                A.RandomResizedCrop(height=size, width=size, scale=(0.8, 1.0), ratio=(0.9, 1.11), p=0.0),
                A.Blur(p=0.01),
                A.MedianBlur(p=0.01),
                A.ToGray(p=0.01),
                A.CLAHE(p=0.01),
                A.RandomBrightnessContrast(p=0.0),
                A.RandomGamma(p=0.0),
                A.OneOf([
                    A.ToGray(p= 1.0),
                    A.RandomFog(fog_coef_lower= 0.3, fog_coef_upper= 0.8, alpha_coef= 0.03, p=1.0), # 안개
                    A.RandomSunFlare(flare_roi= (0, 0, 0.05, 0.001), angle_lower= 0.1, p= 1.0), # 눈뽕
                    A.RandomSnow(brightness_coeff= 2.5, snow_point_lower= 0.1, snow_point_upper= 0.3, p= 1.0), # 눈 (눈만 0.2)
                    A.RandomRain(brightness_coefficient= 0.7, drop_width= 1, blur_value= 3, p= 1.0), # 비
                    ], p = 0.5),
                A.ImageCompression(quality_lower=75, p=0.0)
                ]</t>
  </si>
  <si>
    <t>예시</t>
  </si>
  <si>
    <t>여익수</t>
  </si>
  <si>
    <t>done</t>
  </si>
  <si>
    <t>yolov5l</t>
  </si>
  <si>
    <t>exp</t>
  </si>
  <si>
    <t>HorizontalFlip, ShiftScaleRotate</t>
  </si>
  <si>
    <t>exp2</t>
  </si>
  <si>
    <t>236/300</t>
  </si>
  <si>
    <t>exp3</t>
  </si>
  <si>
    <t>T = [
                A.RandomResizedCrop(height=size, width=size, scale=(0.8, 1.0), ratio=(0.9, 1.11), p=0.0),
                A.Blur(p=0.01),
                A.MedianBlur(p=0.01),
                # A.ToGray(p=0.01),
                A.CLAHE(p=0.01),
                A.RandomBrightnessContrast(p=0.0),
                A.RandomGamma(p=0.0),
                A.ImageCompression(quality_lower=75, p=0.0),
                # 추가한 부분
                A.HorizontalFlip(p=0.5),
                A.ShiftScaleRotate(shift_limit= 0.05, scale_limit= 0.06,
                                    rotate_limit=20, p= 0.33),
                A.OneOf([
                    A.ToGray(p= 1.0),
                    A.RandomFog(fog_coef_lower= 0.3, fog_coef_upper= 0.8,
                                alpha_coef= 0.03, p=1.0),             # 안개
                    A.RandomSunFlare(flare_roi= (0, 0, 0.05, 0.001), 
                                angle_lower= 0.1, p= 1.0),             # 눈뽕
                    A.RandomSnow(brightness_coeff= 2.5, snow_point_lower= 0.1, 
                                snow_point_upper= 0.3, p= 1.0),        # 눈 (눈만 0.2)
                    A.RandomRain(brightness_coefficient= 0.7, drop_width= 1,    # 비
                                blur_value= 3, p= 1.0), 
                ], p = 0.5),                                    
                ]  # transforms</t>
  </si>
  <si>
    <t>exp4</t>
  </si>
  <si>
    <t>T = [
                A.RandomResizedCrop(height=size, width=size, scale=(0.8, 1.0), ratio=(0.9, 1.11), p=0.1),
                A.Blur(p=0.1),
                A.MedianBlur(p=0.1),
                # A.ToGray(p=0.01),
                A.CLAHE(p=0.1),
                A.RandomBrightnessContrast(p=0.1),
                A.RandomGamma(p=0.1),
                A.ImageCompression(quality_lower=75, p=0.1),
                # 추가한 부분
                A.HorizontalFlip(p=0.5),
                A.VerticalFlip(p=0.2) ,
                A.ShiftScaleRotate(shift_limit= 0.05, scale_limit= 0.06,
                                    rotate_limit=20, p= 0.33),
                A.OneOf([
                    A.ToGray(p= 1.0),
                    A.RandomFog(fog_coef_lower= 0.3, fog_coef_upper= 0.8,
                                alpha_coef= 0.03, p=1.0),             # 안개
                    A.RandomSunFlare(flare_roi= (0, 0, 0.05, 0.001), 
                                angle_lower= 0.1, p= 1.0),             # 눈뽕
                    A.RandomSnow(brightness_coeff= 2.5, snow_point_lower= 0.1, 
                                snow_point_upper= 0.3, p= 1.0),        # 눈 (눈만 0.2)
                    A.RandomRain(brightness_coefficient= 0.7, drop_width= 1,    # 비
                                blur_value= 3, p= 1.0), 
                ], p = 0.5),                                    
                ]  # transforms</t>
  </si>
  <si>
    <t>이승윤</t>
  </si>
  <si>
    <t>yolov5x</t>
  </si>
  <si>
    <t>exp1</t>
  </si>
  <si>
    <t>T = [
                A.RandomResizedCrop(height=size, width=size, scale=(0.8, 1.0), ratio=(0.9, 1.11), p=0.0),
                A.Blur(p=0.01),
                A.MedianBlur(p=0.01),
                # A.ToGray(p=0.01),
                A.CLAHE(p=0.01),
                A.RandomBrightnessContrast(p=0.0),
                A.RandomGamma(p=0.0),
                A.ImageCompression(quality_lower=75, p=0.0),
                # 추가한 부분
                A.HorizontalFlip(p=0.5),
                A.ShiftScaleRotate(shift_limit= 0.05, scale_limit= 0.06,
                                    rotate_limit=20, p= 0.33),
                A.OneOf([
                    A.ToGray(p= 1.0),
                    A.RandomFog(fog_coef_lower= 0.3, fog_coef_upper= 0.8,
                                alpha_coef= 0.03, p=1.0),             # 안개
                    A.RandomSunFlare(flare_roi= (0, 0, 0.05, 0.001), 
                                angle_lower= 0.1, p= 1.0),             # 눈뽕
                    A.RandomSnow(brightness_coeff= 2.5, snow_point_lower= 0.1, 
                                snow_point_upper= 0.3, p= 1.0),        # 눈 (눈만 0.2)
                    A.RandomRain(brightness_coefficient= 0.7, drop_width= 1,    # 비
                                blur_value= 3, p= 1.0), 
                        ], p = 0.5),
                ]</t>
  </si>
  <si>
    <t>최유연</t>
  </si>
  <si>
    <t>yolov5n6</t>
  </si>
  <si>
    <t>exp_02098</t>
  </si>
  <si>
    <t>T = [
                A.RandomResizedCrop(height=size, width=size, scale=(0.8, 1.0), ratio=(0.9, 1.11), p=0.0),
                A.Blur(p=0.01),
                A.MedianBlur(p=0.01),
                A.ToGray(p=0.01),
                A.CLAHE(p=0.01),
                A.RandomBrightnessContrast(p=0.0),
                A.RandomGamma(p=0.0),
                A.ImageCompression(quality_lower=75, p=0.0), 
                A.OneOf([
                    A.ToGray(p= 1.0),
                    A.RandomFog(fog_coef_lower= 0.3, fog_coef_upper= 0.8,
                                alpha_coef= 0.03, p=1.0),                           # 안개
                    A.RandomSunFlare(flare_roi= (0, 0, 0.05, 0.001), 
                                angle_lower= 0.1, p= 1.0),                          # 눈뽕
                    A.RandomSnow(brightness_coeff= 2.5, snow_point_lower= 0.1, 
                                snow_point_upper= 0.3, p= 1.0),                     # 눈 (눈만 0.2)
                    A.RandomRain(brightness_coefficient= 0.7, drop_width= 1,        # 비
                                blur_value= 3, p= 1.0), 
                    ], p = 0.5),
                ]  # transforms</t>
  </si>
  <si>
    <t>exp_020910</t>
  </si>
  <si>
    <t xml:space="preserve">            T = [
                A.RandomResizedCrop(height=size, width=size, scale=(0.8, 1.0), ratio=(0.9, 1.11), p=0.0),
                A.Blur(p=0.01),
                A.MedianBlur(p=0.01),
                A.ToGray(p=0.01),
                A.CLAHE(p=0.01),
                A.RandomBrightnessContrast(p=0.0),
                A.RandomGamma(p=0.0),
                A.ImageCompression(quality_lower=75, p=0.0), 
                A.RGBShift(r_shift_limit=30, g_shift_limit=30, b_shift_limit=30, p=0.3),
                A.OneOf([
                    A.ToGray(p= 1.0),
                    A.RandomFog(fog_coef_lower= 0.3, fog_coef_upper= 0.8,
                                alpha_coef= 0.03, p=1.0),                           # 안개
                    A.RandomSunFlare(flare_roi= (0, 0, 0.05, 0.001), 
                                angle_lower= 0.1, p= 1.0),                          # 눈뽕
                    A.RandomSnow(brightness_coeff= 2.5, snow_point_lower= 0.1, 
                                snow_point_upper= 0.3, p= 1.0),                     # 눈 (눈만 0.2)
                    A.RandomRain(brightness_coefficient= 0.7, drop_width= 1,        # 비
                                blur_value= 3, p= 1.0), 
                    A.RGBShift(r_shift_limit=30, g_shift_limit=30, b_shift_limit=30, p=0.3)
                    ], p = 0.5),
                ]  # transforms</t>
  </si>
  <si>
    <t>exp_020911</t>
  </si>
  <si>
    <t xml:space="preserve">            T = [
                A.RandomResizedCrop(height=size, width=size, scale=(0.8, 1.0), ratio=(0.9, 1.11), p=0.0),
                A.Blur(p=0.01),
                A.MedianBlur(p=0.01),
                A.ToGray(p=0.01),
                A.CLAHE(p=0.01),
                A.RandomBrightnessContrast(p=0.0),
                A.RandomGamma(p=0.0),
                A.ImageCompression(quality_lower=75, p=0.0), 
                A.HorizontalFlip(p=0.5),
                A.ShiftScaleRotate(shift_limit= 0.05, scale_limit= 0.06, rotate_limit=20, p= 0.33),
                A.RGBShift(r_shift_limit=30, g_shift_limit=30, b_shift_limit=30, p=0.3),
                A.OneOf([
                    A.ToGray(p= 1.0),
                    A.RandomFog(fog_coef_lower= 0.3, fog_coef_upper= 0.8,
                                alpha_coef= 0.03, p=1.0),                           # 안개
                    A.RandomSunFlare(flare_roi= (0, 0, 0.05, 0.001), 
                                angle_lower= 0.1, p= 1.0),                          # 눈뽕
                    A.RandomSnow(brightness_coeff= 2.5, snow_point_lower= 0.1, 
                                snow_point_upper= 0.3, p= 1.0),                     # 눈 (눈만 0.2)
                    A.RandomRain(brightness_coefficient= 0.7, drop_width= 1,        # 비
                                blur_value= 3, p= 1.0), 
                    A.RGBShift(r_shift_limit=30, g_shift_limit=30, b_shift_limit=30, p=0.3)
                    ], p = 0.5),
                ]  # transforms</t>
  </si>
  <si>
    <t xml:space="preserve"> 이주은</t>
  </si>
  <si>
    <t>yolov5s6</t>
  </si>
  <si>
    <t>exp_02232</t>
  </si>
  <si>
    <t>T = [
                A.RandomResizedCrop(height=size, width=size, scale=(0.8, 1.0), ratio=(0.9, 1.11), p=0.0),
                A.Blur(p=0.01),
                A.MedianBlur(p=0.01),
                A.ToGray(p=0.01),
                A.CLAHE(p=0.01),
                A.RandomBrightnessContrast(p=0.0),
                A.RandomGamma(p=0.0),
                A.OneOf([
                    A.ToGray(p=1.0),
                    A.RandomFog(fog_coef_lower=0.3, fog_coef_upper=0.8,
                                alpha_coef=0.03, p=1.0),  # 안개
                    A.RandomSunFlare(flare_roi=(0, 0, 0.05, 0.001),
                                     angle_lower=0.1, p=1.0),  # 눈뽕
                    A.RandomSnow(brightness_coeff=2.5, snow_point_lower=0.1,
                                 snow_point_upper=0.3, p=1.0),  # 눈 (눈만 0.2)
                    A.RandomRain(brightness_coefficient=0.7, drop_width=1,  # 비
                                 blur_value=3, p=1.0),
                ], p=0.5),
                A.ImageCompression(quality_lower=75, p=0.0)]  # transforms</t>
  </si>
  <si>
    <t>exp_0223</t>
  </si>
  <si>
    <t>exp_02233</t>
  </si>
  <si>
    <t>손병구</t>
  </si>
  <si>
    <t>yolov5m6</t>
  </si>
  <si>
    <t>Adam</t>
  </si>
  <si>
    <t xml:space="preserve"> A.Rotate, A.VerticalFlip</t>
  </si>
  <si>
    <t>stop</t>
  </si>
  <si>
    <t>136/200</t>
  </si>
  <si>
    <t>exp_0224</t>
  </si>
  <si>
    <t xml:space="preserve"> A.Rotate</t>
  </si>
  <si>
    <t>label-smoothing 0.01설정, 
기존 기상환경 조건에서 A.ImageCompression만 제외, 이후 mAP값 변동이 미미해 중단</t>
  </si>
  <si>
    <t>exp_0226</t>
  </si>
  <si>
    <t xml:space="preserve">                A.CLAHE(p=0.03),</t>
  </si>
  <si>
    <t>label-smoothing 0.01설정, 
기존 기상환경 조건에서 A.ImageCompression만 제외</t>
  </si>
  <si>
    <t>ing</t>
  </si>
  <si>
    <t>exp_0228</t>
  </si>
  <si>
    <t>label-smoothing 0.01설정</t>
  </si>
  <si>
    <t>권태윤</t>
  </si>
  <si>
    <t>yolov5l6</t>
  </si>
  <si>
    <t>yolov5l6-#</t>
  </si>
  <si>
    <t xml:space="preserve">                    A.ToGray(p=1.0),</t>
  </si>
  <si>
    <t>22epoch에서 최고 효율(0.642), 
이후 mAP50-95값이 계속 내려가서 정지함
최종 33epoch: 0.553</t>
  </si>
  <si>
    <t xml:space="preserve">                    A.RandomFog(fog_coef_lower=0.3, fog_coef_upper=0.8,</t>
  </si>
  <si>
    <t xml:space="preserve">                                alpha_coef=0.03, p=1.0),  # 안개</t>
  </si>
  <si>
    <t xml:space="preserve">                    A.RandomSunFlare(flare_roi=(0, 0, 0.05, 0.001),</t>
  </si>
  <si>
    <t xml:space="preserve">                                     angle_lower=0.1, p=1.0),  # 눈뽕</t>
  </si>
  <si>
    <t xml:space="preserve">                    A.RandomSnow(brightness_coeff=2.5, snow_point_lower=0.1,</t>
  </si>
  <si>
    <t xml:space="preserve">                                 snow_point_upper=0.3, p=1.0),  # 눈 (눈만 0.2)</t>
  </si>
  <si>
    <t xml:space="preserve">                    A.RandomRain(brightness_coefficient=0.7, drop_width=1,  # 비</t>
  </si>
  <si>
    <t xml:space="preserve">                                 blur_value=3, p=1.0),</t>
  </si>
  <si>
    <t xml:space="preserve">                ], p=0.5),</t>
  </si>
  <si>
    <t xml:space="preserve">                A.ImageCompression(quality_lower=75, p=0.0)]  # transforms</t>
  </si>
  <si>
    <t>Model</t>
  </si>
  <si>
    <t>Learning Rate</t>
  </si>
  <si>
    <t>Batch</t>
  </si>
  <si>
    <t>Epoch</t>
  </si>
  <si>
    <t>mAP50-95</t>
    <phoneticPr fontId="4" type="noConversion"/>
  </si>
  <si>
    <t>YOLOv5x</t>
  </si>
  <si>
    <t>YOLOv5m6</t>
  </si>
  <si>
    <t>YOLOv5l6</t>
  </si>
  <si>
    <t>YOLOv5l</t>
  </si>
  <si>
    <t>YOLOv5m</t>
  </si>
  <si>
    <t>YOLOv5s</t>
  </si>
  <si>
    <t>YOLOv5s6</t>
  </si>
  <si>
    <t>YOLOv5n6</t>
  </si>
  <si>
    <t>YOLOv5n</t>
  </si>
  <si>
    <t>birds 여부</t>
  </si>
  <si>
    <t>Aug 여부</t>
  </si>
  <si>
    <t>X</t>
  </si>
  <si>
    <t>O</t>
  </si>
  <si>
    <t>111/200</t>
  </si>
  <si>
    <t>이주은</t>
  </si>
  <si>
    <t>yolov5m</t>
  </si>
  <si>
    <t>yolov5s</t>
  </si>
  <si>
    <t>213/300</t>
  </si>
  <si>
    <t>Model</t>
    <phoneticPr fontId="4" type="noConversion"/>
  </si>
  <si>
    <t>Birds 여부</t>
    <phoneticPr fontId="4" type="noConversion"/>
  </si>
  <si>
    <t>Aug 여부</t>
    <phoneticPr fontId="4" type="noConversion"/>
  </si>
  <si>
    <t>Learning Rate</t>
    <phoneticPr fontId="4" type="noConversion"/>
  </si>
  <si>
    <t>Batch Size</t>
    <phoneticPr fontId="4" type="noConversion"/>
  </si>
  <si>
    <t>Dataset</t>
  </si>
  <si>
    <t>Train</t>
  </si>
  <si>
    <t>Drone</t>
  </si>
  <si>
    <t>Military Drone</t>
  </si>
  <si>
    <t>Bird</t>
  </si>
  <si>
    <t>Airplane</t>
  </si>
  <si>
    <t>Helicopter</t>
  </si>
  <si>
    <t>Balloon</t>
  </si>
  <si>
    <t>Valid</t>
  </si>
  <si>
    <t>Aug</t>
  </si>
  <si>
    <t>기능</t>
  </si>
  <si>
    <t>세부 기능</t>
  </si>
  <si>
    <t>확률</t>
  </si>
  <si>
    <t>Hyper 
Parameter</t>
  </si>
  <si>
    <t>Rotate</t>
  </si>
  <si>
    <t xml:space="preserve"> ShiftScaleRotate</t>
  </si>
  <si>
    <t>회전</t>
  </si>
  <si>
    <t>GPU 가능한 최대 Size</t>
  </si>
  <si>
    <t xml:space="preserve"> HorizontalFlip</t>
  </si>
  <si>
    <t>좌우</t>
  </si>
  <si>
    <t>learning rate</t>
  </si>
  <si>
    <t>Weather
(OneOf, 
p= 0.5)</t>
  </si>
  <si>
    <t xml:space="preserve"> RandomFog</t>
  </si>
  <si>
    <t>안개</t>
  </si>
  <si>
    <t>epoch</t>
  </si>
  <si>
    <t xml:space="preserve"> RandomSunFlare</t>
  </si>
  <si>
    <t>햇빛</t>
  </si>
  <si>
    <t xml:space="preserve"> RandomSnow</t>
  </si>
  <si>
    <t>눈</t>
  </si>
  <si>
    <t xml:space="preserve"> RandomRain</t>
  </si>
  <si>
    <t>비</t>
  </si>
  <si>
    <t xml:space="preserve"> ToGray</t>
  </si>
  <si>
    <t>흑백</t>
  </si>
  <si>
    <t>label</t>
  </si>
  <si>
    <t>pred</t>
  </si>
  <si>
    <t>reason</t>
  </si>
  <si>
    <t>해결 방안</t>
  </si>
  <si>
    <t>id</t>
  </si>
  <si>
    <t>actual</t>
  </si>
  <si>
    <t>predicted</t>
  </si>
  <si>
    <t>airplane</t>
  </si>
  <si>
    <t>drone</t>
  </si>
  <si>
    <t>원거리</t>
  </si>
  <si>
    <t>airplane 원거리 데이터 추가</t>
  </si>
  <si>
    <t>x</t>
  </si>
  <si>
    <t>흐림</t>
  </si>
  <si>
    <t>화질이 좋지 않은 데이터 삭제</t>
  </si>
  <si>
    <t>helicopter</t>
  </si>
  <si>
    <t>근거리</t>
  </si>
  <si>
    <t>balloon</t>
  </si>
  <si>
    <t>과적합</t>
  </si>
  <si>
    <t>threshold 값을 높힘 (현재 0.5) 
or 원거리 drone 데이터 추가</t>
  </si>
  <si>
    <t>중거리</t>
  </si>
  <si>
    <t>흐려서</t>
  </si>
  <si>
    <t>흐려서(421 비교)</t>
  </si>
  <si>
    <t>하얀 색상은 catch x</t>
  </si>
  <si>
    <t>흐려서(429 비교)</t>
  </si>
  <si>
    <t>bird</t>
  </si>
  <si>
    <t>몰?루</t>
  </si>
  <si>
    <t>Class</t>
  </si>
  <si>
    <t>Images</t>
  </si>
  <si>
    <t>Instance</t>
  </si>
  <si>
    <t>P</t>
  </si>
  <si>
    <t>R</t>
  </si>
  <si>
    <t>All</t>
  </si>
  <si>
    <t>Valid</t>
    <phoneticPr fontId="4" type="noConversion"/>
  </si>
  <si>
    <t>Train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</si>
</sst>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sz val="14"/>
      <color theme="1"/>
      <name val="Microsoft YaHei"/>
      <family val="2"/>
      <charset val="134"/>
    </font>
    <font>
      <sz val="14"/>
      <color rgb="FF000000"/>
      <name val="Microsoft YaHei"/>
      <family val="2"/>
      <charset val="134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4"/>
      <color rgb="FF000000"/>
      <name val="Microsoft YaHei"/>
    </font>
    <font>
      <sz val="11"/>
      <color theme="1"/>
      <name val="Microsoft YaHei"/>
    </font>
    <font>
      <sz val="14"/>
      <color theme="1"/>
      <name val="Microsoft YaHei"/>
    </font>
    <font>
      <sz val="14"/>
      <color rgb="FF000000"/>
      <name val="Microsoft YaHei"/>
    </font>
    <font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10"/>
      <color rgb="FFFF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b/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5" tint="0.39997558519241921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3" fontId="6" fillId="0" borderId="6" xfId="0" applyNumberFormat="1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3" fontId="0" fillId="0" borderId="0" xfId="0" applyNumberFormat="1"/>
    <xf numFmtId="0" fontId="5" fillId="7" borderId="6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5" xfId="0" applyFont="1" applyBorder="1"/>
    <xf numFmtId="0" fontId="10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wrapText="1"/>
    </xf>
    <xf numFmtId="14" fontId="10" fillId="0" borderId="5" xfId="0" applyNumberFormat="1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6" fillId="0" borderId="7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3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6" borderId="6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3" fontId="20" fillId="0" borderId="20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488496</xdr:colOff>
      <xdr:row>0</xdr:row>
      <xdr:rowOff>50347</xdr:rowOff>
    </xdr:from>
    <xdr:to>
      <xdr:col>21</xdr:col>
      <xdr:colOff>507819</xdr:colOff>
      <xdr:row>11</xdr:row>
      <xdr:rowOff>88447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98F7206-3CAE-8BF5-2FDF-BD960173A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0871" y="50347"/>
          <a:ext cx="4838973" cy="269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138248</xdr:colOff>
      <xdr:row>10</xdr:row>
      <xdr:rowOff>81643</xdr:rowOff>
    </xdr:from>
    <xdr:to>
      <xdr:col>32</xdr:col>
      <xdr:colOff>158933</xdr:colOff>
      <xdr:row>19</xdr:row>
      <xdr:rowOff>115933</xdr:rowOff>
    </xdr:to>
    <xdr:pic>
      <xdr:nvPicPr>
        <xdr:cNvPr id="12" name="그림 8">
          <a:extLst>
            <a:ext uri="{FF2B5EF4-FFF2-40B4-BE49-F238E27FC236}">
              <a16:creationId xmlns:a16="http://schemas.microsoft.com/office/drawing/2014/main" id="{D06DFE97-34DF-CCE4-7EB1-B2CE96D541CA}"/>
            </a:ext>
            <a:ext uri="{147F2762-F138-4A5C-976F-8EAC2B608ADB}">
              <a16:predDERef xmlns:a16="http://schemas.microsoft.com/office/drawing/2014/main" pred="{098F7206-3CAE-8BF5-2FDF-BD960173A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36073" y="2500993"/>
          <a:ext cx="6878684" cy="2205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160564</xdr:colOff>
      <xdr:row>0</xdr:row>
      <xdr:rowOff>190500</xdr:rowOff>
    </xdr:from>
    <xdr:to>
      <xdr:col>32</xdr:col>
      <xdr:colOff>183154</xdr:colOff>
      <xdr:row>9</xdr:row>
      <xdr:rowOff>228055</xdr:rowOff>
    </xdr:to>
    <xdr:pic>
      <xdr:nvPicPr>
        <xdr:cNvPr id="6" name="그림 9">
          <a:extLst>
            <a:ext uri="{FF2B5EF4-FFF2-40B4-BE49-F238E27FC236}">
              <a16:creationId xmlns:a16="http://schemas.microsoft.com/office/drawing/2014/main" id="{47FCC810-E8EC-E520-4155-B82DEFA764E3}"/>
            </a:ext>
            <a:ext uri="{147F2762-F138-4A5C-976F-8EAC2B608ADB}">
              <a16:predDERef xmlns:a16="http://schemas.microsoft.com/office/drawing/2014/main" pred="{D06DFE97-34DF-CCE4-7EB1-B2CE96D54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8389" y="190500"/>
          <a:ext cx="6880589" cy="2190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13</xdr:col>
      <xdr:colOff>747849</xdr:colOff>
      <xdr:row>17</xdr:row>
      <xdr:rowOff>30480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9DECF1C-906D-6530-062C-4F46E8F04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3920" y="2705100"/>
          <a:ext cx="6675120" cy="1493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승윤" id="{E51B300A-0980-48B3-BC51-4BFF80795B40}" userId="S::seungyoon_msai2022@nextcity.kr::387b971b-dade-46d6-867e-4969b0ad8586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3-02-23T00:52:57.45" personId="{E51B300A-0980-48B3-BC51-4BFF80795B40}" id="{50A733D2-ECFF-4FD0-9DE5-E0E0A4EB6837}">
    <text>yolov5 폴더 - utils - augmentation.py에서 31번째 줄 부근 가시면 T = [ㅁㅁㅁㅁ] # transform 이라고 써있는 구간이 있습니다.
이 T라고 하는 구간을 통째로 복사하셔서 붙여넣어주시면 됩니다.
주의하실 점은, 셀에 대고 직접하시면 다른 셀에도 영역이 넘어가기 때문에, 셀을 클릭하시고 Excel 상단에 식을 입력하는 f(x)라고 써져있는 긴 칸이 있으니, 그 곳에 붙여넣어 주시면 됩니다.
높이는 고정시켜 두어서 변동은 없을 것으로 보입니다.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workbookViewId="0">
      <pane ySplit="1" topLeftCell="A2" activePane="bottomLeft" state="frozen"/>
      <selection pane="bottomLeft" activeCell="H13" sqref="H13"/>
    </sheetView>
  </sheetViews>
  <sheetFormatPr defaultColWidth="9" defaultRowHeight="21" customHeight="1" x14ac:dyDescent="0.4"/>
  <cols>
    <col min="1" max="1" width="11.5" style="35" customWidth="1"/>
    <col min="2" max="2" width="12.3984375" style="35" bestFit="1" customWidth="1"/>
    <col min="3" max="3" width="12.8984375" style="35" customWidth="1"/>
    <col min="4" max="4" width="10.09765625" style="35" bestFit="1" customWidth="1"/>
    <col min="5" max="5" width="9.8984375" style="35" bestFit="1" customWidth="1"/>
    <col min="6" max="6" width="13.19921875" style="35" bestFit="1" customWidth="1"/>
    <col min="7" max="7" width="12.59765625" style="35" bestFit="1" customWidth="1"/>
    <col min="8" max="8" width="12.59765625" style="35" customWidth="1"/>
    <col min="9" max="9" width="27.19921875" style="35" bestFit="1" customWidth="1"/>
    <col min="10" max="10" width="55.09765625" style="35" bestFit="1" customWidth="1"/>
    <col min="11" max="11" width="58.5" style="35" customWidth="1"/>
    <col min="12" max="16384" width="9" style="35"/>
  </cols>
  <sheetData>
    <row r="1" spans="1:11" s="31" customFormat="1" ht="21" customHeight="1" x14ac:dyDescent="0.3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</row>
    <row r="2" spans="1:11" ht="21" customHeight="1" x14ac:dyDescent="0.4">
      <c r="A2" s="32" t="s">
        <v>11</v>
      </c>
      <c r="B2" s="32" t="s">
        <v>12</v>
      </c>
      <c r="C2" s="32" t="s">
        <v>13</v>
      </c>
      <c r="D2" s="32">
        <v>1E-3</v>
      </c>
      <c r="E2" s="32">
        <v>100</v>
      </c>
      <c r="F2" s="32">
        <v>32</v>
      </c>
      <c r="G2" s="32" t="s">
        <v>14</v>
      </c>
      <c r="H2" s="32">
        <v>0.99990000000000001</v>
      </c>
      <c r="I2" s="33" t="s">
        <v>15</v>
      </c>
      <c r="J2" s="34" t="s">
        <v>16</v>
      </c>
      <c r="K2" s="32" t="s">
        <v>17</v>
      </c>
    </row>
    <row r="3" spans="1:11" ht="21" customHeight="1" x14ac:dyDescent="0.4">
      <c r="A3" s="35" t="s">
        <v>18</v>
      </c>
      <c r="B3" s="35" t="s">
        <v>19</v>
      </c>
      <c r="C3" s="35" t="s">
        <v>20</v>
      </c>
      <c r="D3" s="35">
        <v>1E-3</v>
      </c>
      <c r="E3" s="35">
        <v>19</v>
      </c>
      <c r="F3" s="35">
        <v>28</v>
      </c>
      <c r="G3" s="35" t="s">
        <v>14</v>
      </c>
      <c r="H3" s="35">
        <v>0.72699999999999998</v>
      </c>
      <c r="I3" s="36" t="s">
        <v>21</v>
      </c>
      <c r="J3" s="36" t="s">
        <v>22</v>
      </c>
    </row>
    <row r="4" spans="1:11" ht="21" customHeight="1" x14ac:dyDescent="0.4">
      <c r="A4" s="35" t="s">
        <v>18</v>
      </c>
      <c r="B4" s="35" t="s">
        <v>19</v>
      </c>
      <c r="C4" s="35" t="s">
        <v>20</v>
      </c>
      <c r="D4" s="35">
        <v>0.01</v>
      </c>
      <c r="E4" s="35">
        <v>25</v>
      </c>
      <c r="F4" s="35">
        <v>28</v>
      </c>
      <c r="G4" s="35" t="s">
        <v>14</v>
      </c>
      <c r="H4" s="35">
        <v>0.64600000000000002</v>
      </c>
      <c r="I4" s="36" t="s">
        <v>23</v>
      </c>
      <c r="J4" s="36" t="s">
        <v>22</v>
      </c>
    </row>
    <row r="5" spans="1:11" ht="21" customHeight="1" x14ac:dyDescent="0.4">
      <c r="A5" s="35" t="s">
        <v>18</v>
      </c>
      <c r="B5" s="35" t="s">
        <v>19</v>
      </c>
      <c r="C5" s="35" t="s">
        <v>20</v>
      </c>
      <c r="D5" s="35">
        <v>1E-3</v>
      </c>
      <c r="E5" s="35" t="s">
        <v>24</v>
      </c>
      <c r="F5" s="35">
        <v>28</v>
      </c>
      <c r="G5" s="35" t="s">
        <v>14</v>
      </c>
      <c r="H5" s="35">
        <v>0.82199999999999995</v>
      </c>
      <c r="I5" s="35" t="s">
        <v>25</v>
      </c>
      <c r="J5" s="40" t="s">
        <v>26</v>
      </c>
    </row>
    <row r="6" spans="1:11" ht="21" customHeight="1" x14ac:dyDescent="0.4">
      <c r="A6" s="35" t="s">
        <v>18</v>
      </c>
      <c r="B6" s="35" t="s">
        <v>19</v>
      </c>
      <c r="C6" s="35" t="s">
        <v>20</v>
      </c>
      <c r="D6" s="35">
        <v>1E-3</v>
      </c>
      <c r="E6" s="35">
        <v>200</v>
      </c>
      <c r="F6" s="35">
        <v>16</v>
      </c>
      <c r="G6" s="35" t="s">
        <v>14</v>
      </c>
      <c r="H6" s="35">
        <v>0.81299999999999994</v>
      </c>
      <c r="I6" s="36" t="s">
        <v>27</v>
      </c>
      <c r="J6" s="40" t="s">
        <v>28</v>
      </c>
    </row>
    <row r="7" spans="1:11" ht="21" customHeight="1" x14ac:dyDescent="0.4">
      <c r="A7" s="35" t="s">
        <v>29</v>
      </c>
      <c r="B7" s="35" t="s">
        <v>19</v>
      </c>
      <c r="C7" s="35" t="s">
        <v>30</v>
      </c>
      <c r="D7" s="35">
        <v>1E-3</v>
      </c>
      <c r="E7" s="35">
        <v>100</v>
      </c>
      <c r="F7" s="35">
        <v>16</v>
      </c>
      <c r="G7" s="35" t="s">
        <v>14</v>
      </c>
      <c r="H7" s="35">
        <v>0.81699999999999995</v>
      </c>
      <c r="I7" s="35" t="s">
        <v>31</v>
      </c>
      <c r="J7" s="38" t="s">
        <v>16</v>
      </c>
    </row>
    <row r="8" spans="1:11" ht="21" customHeight="1" x14ac:dyDescent="0.4">
      <c r="A8" s="35" t="s">
        <v>29</v>
      </c>
      <c r="B8" s="35" t="s">
        <v>19</v>
      </c>
      <c r="C8" s="35" t="s">
        <v>30</v>
      </c>
      <c r="D8" s="35">
        <v>1E-3</v>
      </c>
      <c r="E8" s="35">
        <v>100</v>
      </c>
      <c r="F8" s="35">
        <v>16</v>
      </c>
      <c r="G8" s="35" t="s">
        <v>14</v>
      </c>
      <c r="H8" s="37">
        <v>0.85099999999999998</v>
      </c>
      <c r="I8" s="36" t="s">
        <v>23</v>
      </c>
      <c r="J8" s="40" t="s">
        <v>32</v>
      </c>
    </row>
    <row r="9" spans="1:11" ht="21" customHeight="1" x14ac:dyDescent="0.4">
      <c r="A9" s="35" t="s">
        <v>29</v>
      </c>
      <c r="B9" s="35" t="s">
        <v>19</v>
      </c>
      <c r="C9" s="35" t="s">
        <v>30</v>
      </c>
      <c r="D9" s="35">
        <v>1E-3</v>
      </c>
      <c r="E9" s="35">
        <v>300</v>
      </c>
      <c r="F9" s="35">
        <v>16</v>
      </c>
      <c r="G9" s="35" t="s">
        <v>14</v>
      </c>
      <c r="H9" s="43">
        <v>0.90500000000000003</v>
      </c>
      <c r="I9" s="36" t="s">
        <v>25</v>
      </c>
      <c r="J9" s="40" t="s">
        <v>32</v>
      </c>
    </row>
    <row r="10" spans="1:11" ht="21" customHeight="1" x14ac:dyDescent="0.4">
      <c r="H10" s="37"/>
      <c r="I10" s="36"/>
      <c r="J10" s="36"/>
    </row>
    <row r="11" spans="1:11" ht="21" customHeight="1" x14ac:dyDescent="0.4">
      <c r="A11" s="35" t="s">
        <v>33</v>
      </c>
      <c r="B11" s="35" t="s">
        <v>19</v>
      </c>
      <c r="C11" s="35" t="s">
        <v>34</v>
      </c>
      <c r="D11" s="35">
        <v>1E-3</v>
      </c>
      <c r="E11" s="35">
        <v>100</v>
      </c>
      <c r="F11" s="35">
        <v>32</v>
      </c>
      <c r="G11" s="35" t="s">
        <v>14</v>
      </c>
      <c r="H11" s="35">
        <v>0.74099999999999999</v>
      </c>
      <c r="I11" s="35" t="s">
        <v>35</v>
      </c>
      <c r="J11" s="38" t="s">
        <v>36</v>
      </c>
    </row>
    <row r="12" spans="1:11" ht="21" customHeight="1" x14ac:dyDescent="0.4">
      <c r="A12" s="35" t="s">
        <v>33</v>
      </c>
      <c r="B12" s="35" t="s">
        <v>19</v>
      </c>
      <c r="C12" s="35" t="s">
        <v>30</v>
      </c>
      <c r="D12" s="35">
        <v>5.0000000000000001E-4</v>
      </c>
      <c r="E12" s="35">
        <v>100</v>
      </c>
      <c r="F12" s="35">
        <v>16</v>
      </c>
      <c r="G12" s="35" t="s">
        <v>14</v>
      </c>
      <c r="H12" s="35">
        <v>0.75700000000000001</v>
      </c>
      <c r="I12" s="35" t="s">
        <v>37</v>
      </c>
      <c r="J12" s="41" t="s">
        <v>38</v>
      </c>
    </row>
    <row r="13" spans="1:11" ht="21" customHeight="1" x14ac:dyDescent="0.4">
      <c r="A13" s="35" t="s">
        <v>33</v>
      </c>
      <c r="B13" s="35" t="s">
        <v>19</v>
      </c>
      <c r="C13" s="35" t="s">
        <v>30</v>
      </c>
      <c r="D13" s="35">
        <v>5.0000000000000001E-4</v>
      </c>
      <c r="E13" s="35">
        <v>300</v>
      </c>
      <c r="F13" s="35">
        <v>16</v>
      </c>
      <c r="G13" s="35" t="s">
        <v>14</v>
      </c>
      <c r="H13" s="35">
        <v>0.77600000000000002</v>
      </c>
      <c r="I13" s="37" t="s">
        <v>39</v>
      </c>
      <c r="J13" s="41" t="s">
        <v>40</v>
      </c>
    </row>
    <row r="14" spans="1:11" ht="21" customHeight="1" x14ac:dyDescent="0.4">
      <c r="I14" s="39"/>
      <c r="J14" s="39"/>
    </row>
    <row r="15" spans="1:11" ht="21" customHeight="1" x14ac:dyDescent="0.4">
      <c r="A15" s="35" t="s">
        <v>41</v>
      </c>
      <c r="B15" s="35" t="s">
        <v>19</v>
      </c>
      <c r="C15" s="35" t="s">
        <v>42</v>
      </c>
      <c r="D15" s="35">
        <v>1E-3</v>
      </c>
      <c r="E15" s="35">
        <v>100</v>
      </c>
      <c r="F15" s="35">
        <v>16</v>
      </c>
      <c r="G15" s="35" t="s">
        <v>14</v>
      </c>
      <c r="H15" s="35">
        <v>0.748</v>
      </c>
      <c r="I15" s="35" t="s">
        <v>43</v>
      </c>
      <c r="J15" s="42" t="s">
        <v>44</v>
      </c>
    </row>
    <row r="16" spans="1:11" ht="21" customHeight="1" x14ac:dyDescent="0.4">
      <c r="A16" s="35" t="s">
        <v>41</v>
      </c>
      <c r="B16" s="35" t="s">
        <v>19</v>
      </c>
      <c r="C16" s="35" t="s">
        <v>20</v>
      </c>
      <c r="D16" s="35">
        <v>1E-4</v>
      </c>
      <c r="E16" s="35">
        <v>100</v>
      </c>
      <c r="F16" s="35">
        <v>16</v>
      </c>
      <c r="G16" s="35" t="s">
        <v>14</v>
      </c>
      <c r="H16" s="35">
        <v>0.73399999999999999</v>
      </c>
      <c r="I16" s="35" t="s">
        <v>45</v>
      </c>
      <c r="J16" s="42" t="s">
        <v>44</v>
      </c>
    </row>
    <row r="17" spans="1:11" ht="21" customHeight="1" x14ac:dyDescent="0.4">
      <c r="A17" s="35" t="s">
        <v>41</v>
      </c>
      <c r="B17" s="35" t="s">
        <v>19</v>
      </c>
      <c r="C17" s="35" t="s">
        <v>20</v>
      </c>
      <c r="D17" s="35">
        <v>1E-4</v>
      </c>
      <c r="E17" s="35">
        <v>200</v>
      </c>
      <c r="F17" s="35">
        <v>16</v>
      </c>
      <c r="G17" s="35" t="s">
        <v>14</v>
      </c>
      <c r="H17" s="35">
        <v>0.753</v>
      </c>
      <c r="I17" s="35" t="s">
        <v>46</v>
      </c>
      <c r="J17" s="38" t="s">
        <v>44</v>
      </c>
    </row>
    <row r="19" spans="1:11" ht="21" customHeight="1" x14ac:dyDescent="0.4">
      <c r="A19" s="35" t="s">
        <v>47</v>
      </c>
      <c r="B19" s="35" t="s">
        <v>19</v>
      </c>
      <c r="C19" s="35" t="s">
        <v>48</v>
      </c>
      <c r="D19" s="35">
        <v>1E-4</v>
      </c>
      <c r="E19" s="35">
        <v>100</v>
      </c>
      <c r="F19" s="35">
        <v>6</v>
      </c>
      <c r="G19" s="35" t="s">
        <v>49</v>
      </c>
      <c r="H19" s="35">
        <v>0.77400000000000002</v>
      </c>
      <c r="I19" s="35" t="s">
        <v>45</v>
      </c>
      <c r="J19" s="35" t="s">
        <v>50</v>
      </c>
    </row>
    <row r="20" spans="1:11" ht="23.25" customHeight="1" x14ac:dyDescent="0.4">
      <c r="A20" s="35" t="s">
        <v>47</v>
      </c>
      <c r="B20" s="35" t="s">
        <v>51</v>
      </c>
      <c r="C20" s="35" t="s">
        <v>48</v>
      </c>
      <c r="D20" s="35">
        <v>1E-3</v>
      </c>
      <c r="E20" s="35" t="s">
        <v>52</v>
      </c>
      <c r="F20" s="35">
        <v>6</v>
      </c>
      <c r="G20" s="35" t="s">
        <v>49</v>
      </c>
      <c r="H20" s="35">
        <v>0.76800000000000002</v>
      </c>
      <c r="I20" s="35" t="s">
        <v>53</v>
      </c>
      <c r="J20" s="35" t="s">
        <v>54</v>
      </c>
      <c r="K20" s="38" t="s">
        <v>55</v>
      </c>
    </row>
    <row r="21" spans="1:11" ht="23.25" customHeight="1" x14ac:dyDescent="0.4">
      <c r="A21" s="35" t="s">
        <v>47</v>
      </c>
      <c r="B21" s="35" t="s">
        <v>19</v>
      </c>
      <c r="C21" s="35" t="s">
        <v>30</v>
      </c>
      <c r="D21" s="35">
        <v>1E-4</v>
      </c>
      <c r="E21" s="35">
        <v>300</v>
      </c>
      <c r="F21" s="35">
        <v>16</v>
      </c>
      <c r="G21" s="35" t="s">
        <v>49</v>
      </c>
      <c r="H21" s="35">
        <v>0.76500000000000001</v>
      </c>
      <c r="I21" s="35" t="s">
        <v>56</v>
      </c>
      <c r="J21" s="35" t="s">
        <v>57</v>
      </c>
      <c r="K21" s="38" t="s">
        <v>58</v>
      </c>
    </row>
    <row r="22" spans="1:11" ht="21" customHeight="1" x14ac:dyDescent="0.4">
      <c r="A22" s="35" t="s">
        <v>47</v>
      </c>
      <c r="B22" s="35" t="s">
        <v>59</v>
      </c>
      <c r="C22" s="35" t="s">
        <v>30</v>
      </c>
      <c r="D22" s="35">
        <v>1E-4</v>
      </c>
      <c r="E22" s="35">
        <v>200</v>
      </c>
      <c r="F22" s="35">
        <v>16</v>
      </c>
      <c r="G22" s="35" t="s">
        <v>49</v>
      </c>
      <c r="I22" s="35" t="s">
        <v>60</v>
      </c>
      <c r="J22" s="35" t="s">
        <v>50</v>
      </c>
      <c r="K22" s="35" t="s">
        <v>61</v>
      </c>
    </row>
    <row r="23" spans="1:11" ht="21" customHeight="1" x14ac:dyDescent="0.4">
      <c r="A23" s="35" t="s">
        <v>62</v>
      </c>
      <c r="B23" s="35" t="s">
        <v>51</v>
      </c>
      <c r="C23" s="35" t="s">
        <v>63</v>
      </c>
      <c r="D23" s="35">
        <v>0.01</v>
      </c>
      <c r="E23" s="35">
        <v>100</v>
      </c>
      <c r="F23" s="35">
        <v>7</v>
      </c>
      <c r="G23" s="35" t="s">
        <v>14</v>
      </c>
      <c r="H23" s="35">
        <v>0.64200000000000002</v>
      </c>
      <c r="I23" s="35" t="s">
        <v>64</v>
      </c>
      <c r="J23" s="35" t="s">
        <v>65</v>
      </c>
      <c r="K23" s="38" t="s">
        <v>66</v>
      </c>
    </row>
    <row r="24" spans="1:11" ht="21" customHeight="1" x14ac:dyDescent="0.4">
      <c r="A24" s="35" t="s">
        <v>62</v>
      </c>
      <c r="B24" s="35" t="s">
        <v>19</v>
      </c>
      <c r="C24" s="35" t="s">
        <v>63</v>
      </c>
      <c r="D24" s="35">
        <v>1E-3</v>
      </c>
      <c r="E24" s="35">
        <v>100</v>
      </c>
      <c r="F24" s="35">
        <v>7</v>
      </c>
      <c r="G24" s="35" t="s">
        <v>14</v>
      </c>
      <c r="H24" s="35">
        <v>0.83099999999999996</v>
      </c>
      <c r="I24" s="35" t="s">
        <v>21</v>
      </c>
      <c r="J24" s="35" t="s">
        <v>67</v>
      </c>
    </row>
    <row r="25" spans="1:11" ht="21" customHeight="1" x14ac:dyDescent="0.4">
      <c r="A25" s="35" t="s">
        <v>62</v>
      </c>
      <c r="B25" s="35" t="s">
        <v>19</v>
      </c>
      <c r="C25" s="35" t="s">
        <v>63</v>
      </c>
      <c r="D25" s="35">
        <v>1E-4</v>
      </c>
      <c r="E25" s="35">
        <v>100</v>
      </c>
      <c r="F25" s="35">
        <v>7</v>
      </c>
      <c r="G25" s="35" t="s">
        <v>14</v>
      </c>
      <c r="H25" s="35">
        <v>0.84399999999999997</v>
      </c>
      <c r="I25" s="35" t="s">
        <v>23</v>
      </c>
      <c r="J25" s="35" t="s">
        <v>68</v>
      </c>
    </row>
    <row r="26" spans="1:11" ht="21" customHeight="1" x14ac:dyDescent="0.4">
      <c r="J26" s="35" t="s">
        <v>69</v>
      </c>
    </row>
    <row r="27" spans="1:11" ht="21" customHeight="1" x14ac:dyDescent="0.4">
      <c r="J27" s="35" t="s">
        <v>70</v>
      </c>
    </row>
    <row r="28" spans="1:11" ht="21" customHeight="1" x14ac:dyDescent="0.4">
      <c r="J28" s="35" t="s">
        <v>71</v>
      </c>
    </row>
    <row r="29" spans="1:11" ht="21" customHeight="1" x14ac:dyDescent="0.4">
      <c r="J29" s="35" t="s">
        <v>72</v>
      </c>
    </row>
    <row r="30" spans="1:11" ht="21" customHeight="1" x14ac:dyDescent="0.4">
      <c r="J30" s="35" t="s">
        <v>73</v>
      </c>
    </row>
    <row r="31" spans="1:11" ht="21" customHeight="1" x14ac:dyDescent="0.4">
      <c r="J31" s="35" t="s">
        <v>74</v>
      </c>
    </row>
    <row r="32" spans="1:11" ht="21" customHeight="1" x14ac:dyDescent="0.4">
      <c r="J32" s="35" t="s">
        <v>75</v>
      </c>
    </row>
    <row r="33" spans="10:10" ht="21" customHeight="1" x14ac:dyDescent="0.4">
      <c r="J33" s="35" t="s">
        <v>76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3EEE-3B8E-4DFF-AC1F-38ABAF731630}">
  <dimension ref="A1:L22"/>
  <sheetViews>
    <sheetView workbookViewId="0">
      <selection activeCell="H2" sqref="H2:L2"/>
    </sheetView>
  </sheetViews>
  <sheetFormatPr defaultRowHeight="17.399999999999999" x14ac:dyDescent="0.4"/>
  <cols>
    <col min="1" max="1" width="13" bestFit="1" customWidth="1"/>
    <col min="2" max="2" width="14.296875" bestFit="1" customWidth="1"/>
    <col min="3" max="3" width="17.296875" bestFit="1" customWidth="1"/>
    <col min="4" max="4" width="7.69921875" bestFit="1" customWidth="1"/>
    <col min="5" max="5" width="8.09765625" bestFit="1" customWidth="1"/>
    <col min="6" max="6" width="13.09765625" bestFit="1" customWidth="1"/>
    <col min="8" max="8" width="14.296875" bestFit="1" customWidth="1"/>
    <col min="9" max="9" width="17.296875" bestFit="1" customWidth="1"/>
    <col min="10" max="10" width="7.69921875" bestFit="1" customWidth="1"/>
    <col min="11" max="11" width="8.09765625" bestFit="1" customWidth="1"/>
    <col min="12" max="12" width="13.09765625" bestFit="1" customWidth="1"/>
  </cols>
  <sheetData>
    <row r="1" spans="1:12" x14ac:dyDescent="0.4">
      <c r="A1" s="70">
        <v>230303</v>
      </c>
      <c r="G1">
        <v>230220</v>
      </c>
    </row>
    <row r="2" spans="1:12" ht="21" x14ac:dyDescent="0.4">
      <c r="B2" s="78" t="s">
        <v>77</v>
      </c>
      <c r="C2" s="79" t="s">
        <v>78</v>
      </c>
      <c r="D2" s="79" t="s">
        <v>79</v>
      </c>
      <c r="E2" s="79" t="s">
        <v>80</v>
      </c>
      <c r="F2" s="80" t="s">
        <v>81</v>
      </c>
      <c r="H2" s="78" t="s">
        <v>77</v>
      </c>
      <c r="I2" s="79" t="s">
        <v>78</v>
      </c>
      <c r="J2" s="79" t="s">
        <v>79</v>
      </c>
      <c r="K2" s="79" t="s">
        <v>80</v>
      </c>
      <c r="L2" s="80" t="s">
        <v>81</v>
      </c>
    </row>
    <row r="3" spans="1:12" ht="19.2" x14ac:dyDescent="0.4">
      <c r="A3" s="70">
        <v>1</v>
      </c>
      <c r="B3" s="71" t="s">
        <v>20</v>
      </c>
      <c r="C3" s="35">
        <v>1E-3</v>
      </c>
      <c r="D3" s="35">
        <v>28</v>
      </c>
      <c r="E3" s="35">
        <v>19</v>
      </c>
      <c r="F3" s="73">
        <v>0.72699999999999998</v>
      </c>
      <c r="H3" s="82" t="s">
        <v>83</v>
      </c>
      <c r="I3" s="81">
        <v>1E-4</v>
      </c>
      <c r="J3" s="81">
        <v>10</v>
      </c>
      <c r="K3" s="81">
        <v>100</v>
      </c>
      <c r="L3" s="83">
        <v>0.76800000000000002</v>
      </c>
    </row>
    <row r="4" spans="1:12" ht="19.2" x14ac:dyDescent="0.4">
      <c r="A4" s="70">
        <v>2</v>
      </c>
      <c r="B4" s="71" t="s">
        <v>20</v>
      </c>
      <c r="C4" s="35">
        <v>0.01</v>
      </c>
      <c r="D4" s="35">
        <v>28</v>
      </c>
      <c r="E4" s="35">
        <v>25</v>
      </c>
      <c r="F4" s="73">
        <v>0.64600000000000002</v>
      </c>
      <c r="H4" s="82" t="s">
        <v>83</v>
      </c>
      <c r="I4" s="81">
        <v>1E-3</v>
      </c>
      <c r="J4" s="81">
        <v>8</v>
      </c>
      <c r="K4" s="81">
        <v>100</v>
      </c>
      <c r="L4" s="83">
        <v>0.76300000000000001</v>
      </c>
    </row>
    <row r="5" spans="1:12" ht="19.2" x14ac:dyDescent="0.4">
      <c r="A5" s="70">
        <v>3</v>
      </c>
      <c r="B5" s="71" t="s">
        <v>85</v>
      </c>
      <c r="C5" s="35">
        <v>1E-3</v>
      </c>
      <c r="D5" s="35">
        <v>28</v>
      </c>
      <c r="E5" s="35">
        <v>236</v>
      </c>
      <c r="F5" s="73">
        <v>0.82199999999999995</v>
      </c>
      <c r="H5" s="82" t="s">
        <v>84</v>
      </c>
      <c r="I5" s="81">
        <v>1E-3</v>
      </c>
      <c r="J5" s="81">
        <v>4</v>
      </c>
      <c r="K5" s="81">
        <v>100</v>
      </c>
      <c r="L5" s="83">
        <v>0.76100000000000001</v>
      </c>
    </row>
    <row r="6" spans="1:12" ht="19.2" x14ac:dyDescent="0.4">
      <c r="A6" s="70">
        <v>4</v>
      </c>
      <c r="B6" s="71" t="s">
        <v>85</v>
      </c>
      <c r="C6" s="35">
        <v>1E-3</v>
      </c>
      <c r="D6" s="35">
        <v>16</v>
      </c>
      <c r="E6" s="35">
        <v>200</v>
      </c>
      <c r="F6" s="73">
        <v>0.81299999999999994</v>
      </c>
      <c r="H6" s="82" t="s">
        <v>82</v>
      </c>
      <c r="I6" s="81">
        <v>1E-3</v>
      </c>
      <c r="J6" s="81">
        <v>18</v>
      </c>
      <c r="K6" s="81">
        <v>100</v>
      </c>
      <c r="L6" s="83">
        <v>0.75</v>
      </c>
    </row>
    <row r="7" spans="1:12" ht="19.2" x14ac:dyDescent="0.4">
      <c r="A7" s="70">
        <v>5</v>
      </c>
      <c r="B7" s="71" t="s">
        <v>82</v>
      </c>
      <c r="C7" s="35">
        <v>1E-3</v>
      </c>
      <c r="D7" s="35">
        <v>16</v>
      </c>
      <c r="E7" s="35">
        <v>100</v>
      </c>
      <c r="F7" s="73">
        <v>0.81699999999999995</v>
      </c>
      <c r="H7" s="82" t="s">
        <v>85</v>
      </c>
      <c r="I7" s="81">
        <v>1E-3</v>
      </c>
      <c r="J7" s="81">
        <v>16</v>
      </c>
      <c r="K7" s="81">
        <v>100</v>
      </c>
      <c r="L7" s="83">
        <v>0.75</v>
      </c>
    </row>
    <row r="8" spans="1:12" ht="19.2" x14ac:dyDescent="0.4">
      <c r="A8" s="70">
        <v>6</v>
      </c>
      <c r="B8" s="71" t="s">
        <v>82</v>
      </c>
      <c r="C8" s="35">
        <v>1E-3</v>
      </c>
      <c r="D8" s="35">
        <v>16</v>
      </c>
      <c r="E8" s="35">
        <v>100</v>
      </c>
      <c r="F8" s="72">
        <v>0.85099999999999998</v>
      </c>
      <c r="H8" s="82" t="s">
        <v>82</v>
      </c>
      <c r="I8" s="81">
        <v>1E-3</v>
      </c>
      <c r="J8" s="81">
        <v>16</v>
      </c>
      <c r="K8" s="81">
        <v>100</v>
      </c>
      <c r="L8" s="83">
        <v>0.749</v>
      </c>
    </row>
    <row r="9" spans="1:12" ht="19.2" x14ac:dyDescent="0.4">
      <c r="A9" s="70">
        <v>7</v>
      </c>
      <c r="B9" s="71" t="s">
        <v>82</v>
      </c>
      <c r="C9" s="35">
        <v>1E-3</v>
      </c>
      <c r="D9" s="35">
        <v>16</v>
      </c>
      <c r="E9" s="35">
        <v>300</v>
      </c>
      <c r="F9" s="72">
        <v>0.90500000000000003</v>
      </c>
      <c r="H9" s="82" t="s">
        <v>82</v>
      </c>
      <c r="I9" s="81">
        <v>1E-3</v>
      </c>
      <c r="J9" s="81">
        <v>18</v>
      </c>
      <c r="K9" s="81">
        <v>100</v>
      </c>
      <c r="L9" s="83">
        <v>0.747</v>
      </c>
    </row>
    <row r="10" spans="1:12" ht="19.2" x14ac:dyDescent="0.4">
      <c r="A10" s="70">
        <v>8</v>
      </c>
      <c r="B10" s="71" t="s">
        <v>89</v>
      </c>
      <c r="C10" s="35">
        <v>1E-3</v>
      </c>
      <c r="D10" s="35">
        <v>32</v>
      </c>
      <c r="E10" s="35">
        <v>100</v>
      </c>
      <c r="F10" s="73">
        <v>0.74099999999999999</v>
      </c>
      <c r="H10" s="82" t="s">
        <v>86</v>
      </c>
      <c r="I10" s="81">
        <v>1E-3</v>
      </c>
      <c r="J10" s="81">
        <v>40</v>
      </c>
      <c r="K10" s="81">
        <v>100</v>
      </c>
      <c r="L10" s="83">
        <v>0.74199999999999999</v>
      </c>
    </row>
    <row r="11" spans="1:12" ht="19.2" x14ac:dyDescent="0.4">
      <c r="A11" s="70">
        <v>9</v>
      </c>
      <c r="B11" s="71" t="s">
        <v>82</v>
      </c>
      <c r="C11" s="35">
        <v>5.0000000000000001E-4</v>
      </c>
      <c r="D11" s="35">
        <v>16</v>
      </c>
      <c r="E11" s="35">
        <v>100</v>
      </c>
      <c r="F11" s="73">
        <v>0.75700000000000001</v>
      </c>
      <c r="H11" s="82" t="s">
        <v>83</v>
      </c>
      <c r="I11" s="81">
        <v>1E-3</v>
      </c>
      <c r="J11" s="81">
        <v>10</v>
      </c>
      <c r="K11" s="81">
        <v>100</v>
      </c>
      <c r="L11" s="83">
        <v>0.73199999999999998</v>
      </c>
    </row>
    <row r="12" spans="1:12" ht="19.2" x14ac:dyDescent="0.4">
      <c r="A12" s="70">
        <v>10</v>
      </c>
      <c r="B12" s="74" t="s">
        <v>30</v>
      </c>
      <c r="C12" s="75">
        <v>5.0000000000000001E-4</v>
      </c>
      <c r="D12" s="75">
        <v>16</v>
      </c>
      <c r="E12" s="75">
        <v>300</v>
      </c>
      <c r="F12" s="76">
        <v>0</v>
      </c>
      <c r="H12" s="84" t="s">
        <v>84</v>
      </c>
      <c r="I12" s="85">
        <v>1E-4</v>
      </c>
      <c r="J12" s="85">
        <v>4</v>
      </c>
      <c r="K12" s="85">
        <v>100</v>
      </c>
      <c r="L12" s="86">
        <v>0.72599999999999998</v>
      </c>
    </row>
    <row r="13" spans="1:12" ht="19.2" x14ac:dyDescent="0.4">
      <c r="B13" s="77" t="s">
        <v>88</v>
      </c>
      <c r="C13" s="77">
        <v>1E-3</v>
      </c>
      <c r="D13" s="77">
        <v>16</v>
      </c>
      <c r="E13" s="77">
        <v>100</v>
      </c>
      <c r="F13" s="77">
        <v>0.748</v>
      </c>
      <c r="H13" s="2" t="s">
        <v>87</v>
      </c>
      <c r="I13" s="2">
        <v>1E-3</v>
      </c>
      <c r="J13" s="2">
        <v>32</v>
      </c>
      <c r="K13" s="2">
        <v>100</v>
      </c>
      <c r="L13" s="2">
        <v>0.72099999999999997</v>
      </c>
    </row>
    <row r="14" spans="1:12" ht="19.2" x14ac:dyDescent="0.4">
      <c r="B14" s="35" t="s">
        <v>85</v>
      </c>
      <c r="C14" s="35">
        <v>1E-4</v>
      </c>
      <c r="D14" s="35">
        <v>16</v>
      </c>
      <c r="E14" s="35">
        <v>100</v>
      </c>
      <c r="F14" s="35">
        <v>0.73399999999999999</v>
      </c>
      <c r="H14" s="2" t="s">
        <v>88</v>
      </c>
      <c r="I14" s="2">
        <v>1E-3</v>
      </c>
      <c r="J14" s="2">
        <v>16</v>
      </c>
      <c r="K14" s="2">
        <v>100</v>
      </c>
      <c r="L14" s="2">
        <v>0.71199999999999997</v>
      </c>
    </row>
    <row r="15" spans="1:12" ht="19.2" x14ac:dyDescent="0.4">
      <c r="B15" s="35" t="s">
        <v>85</v>
      </c>
      <c r="C15" s="35">
        <v>1E-4</v>
      </c>
      <c r="D15" s="35">
        <v>16</v>
      </c>
      <c r="E15" s="35">
        <v>200</v>
      </c>
      <c r="F15" s="35">
        <v>0.753</v>
      </c>
      <c r="H15" s="2" t="s">
        <v>87</v>
      </c>
      <c r="I15" s="2">
        <v>0.01</v>
      </c>
      <c r="J15" s="2">
        <v>32</v>
      </c>
      <c r="K15" s="2">
        <v>100</v>
      </c>
      <c r="L15" s="3">
        <v>0.69899999999999995</v>
      </c>
    </row>
    <row r="16" spans="1:12" ht="19.2" x14ac:dyDescent="0.4">
      <c r="B16" s="35" t="s">
        <v>83</v>
      </c>
      <c r="C16" s="35">
        <v>1E-4</v>
      </c>
      <c r="D16" s="35">
        <v>6</v>
      </c>
      <c r="E16" s="35">
        <v>100</v>
      </c>
      <c r="F16" s="35">
        <v>0.77400000000000002</v>
      </c>
      <c r="H16" s="2" t="s">
        <v>83</v>
      </c>
      <c r="I16" s="2">
        <v>0.01</v>
      </c>
      <c r="J16" s="2">
        <v>48</v>
      </c>
      <c r="K16" s="2">
        <v>100</v>
      </c>
      <c r="L16" s="2">
        <v>0.68899999999999995</v>
      </c>
    </row>
    <row r="17" spans="2:12" ht="19.2" x14ac:dyDescent="0.4">
      <c r="B17" s="35" t="s">
        <v>83</v>
      </c>
      <c r="C17" s="35">
        <v>1E-3</v>
      </c>
      <c r="D17" s="35">
        <v>6</v>
      </c>
      <c r="E17" s="35">
        <v>136</v>
      </c>
      <c r="F17" s="35">
        <v>0.76800000000000002</v>
      </c>
      <c r="H17" s="2" t="s">
        <v>90</v>
      </c>
      <c r="I17" s="2">
        <v>1E-3</v>
      </c>
      <c r="J17" s="2">
        <v>64</v>
      </c>
      <c r="K17" s="2">
        <v>100</v>
      </c>
      <c r="L17" s="4">
        <v>0.66900000000000004</v>
      </c>
    </row>
    <row r="18" spans="2:12" ht="19.2" x14ac:dyDescent="0.4">
      <c r="B18" s="35" t="s">
        <v>82</v>
      </c>
      <c r="C18" s="35">
        <v>1E-4</v>
      </c>
      <c r="D18" s="35">
        <v>16</v>
      </c>
      <c r="E18" s="35">
        <v>300</v>
      </c>
      <c r="F18" s="35">
        <v>0.76500000000000001</v>
      </c>
      <c r="H18" s="2" t="s">
        <v>90</v>
      </c>
      <c r="I18" s="2">
        <v>0.01</v>
      </c>
      <c r="J18" s="2">
        <v>64</v>
      </c>
      <c r="K18" s="2">
        <v>100</v>
      </c>
      <c r="L18" s="2">
        <v>0.65500000000000003</v>
      </c>
    </row>
    <row r="19" spans="2:12" ht="19.2" x14ac:dyDescent="0.4">
      <c r="B19" s="35" t="s">
        <v>30</v>
      </c>
      <c r="C19" s="35">
        <v>1E-4</v>
      </c>
      <c r="D19" s="35">
        <v>16</v>
      </c>
      <c r="E19" s="35">
        <v>200</v>
      </c>
      <c r="F19" s="35">
        <v>0</v>
      </c>
      <c r="H19" s="2" t="s">
        <v>90</v>
      </c>
      <c r="I19" s="2">
        <v>0.01</v>
      </c>
      <c r="J19" s="2">
        <v>64</v>
      </c>
      <c r="K19" s="2">
        <v>100</v>
      </c>
      <c r="L19" s="2">
        <v>0.61799999999999999</v>
      </c>
    </row>
    <row r="20" spans="2:12" ht="19.2" x14ac:dyDescent="0.4">
      <c r="B20" s="35" t="s">
        <v>63</v>
      </c>
      <c r="C20" s="35">
        <v>0.01</v>
      </c>
      <c r="D20" s="35">
        <v>7</v>
      </c>
      <c r="E20" s="35">
        <v>100</v>
      </c>
      <c r="F20" s="35">
        <v>0.64200000000000002</v>
      </c>
      <c r="H20" s="2" t="s">
        <v>90</v>
      </c>
      <c r="I20" s="2">
        <v>1E-4</v>
      </c>
      <c r="J20" s="2">
        <v>64</v>
      </c>
      <c r="K20" s="2">
        <v>100</v>
      </c>
      <c r="L20" s="2">
        <v>0.59</v>
      </c>
    </row>
    <row r="21" spans="2:12" ht="19.2" x14ac:dyDescent="0.4">
      <c r="B21" s="35" t="s">
        <v>84</v>
      </c>
      <c r="C21" s="35">
        <v>1E-3</v>
      </c>
      <c r="D21" s="35">
        <v>7</v>
      </c>
      <c r="E21" s="35">
        <v>100</v>
      </c>
      <c r="F21" s="35">
        <v>0.83099999999999996</v>
      </c>
    </row>
    <row r="22" spans="2:12" ht="19.2" x14ac:dyDescent="0.4">
      <c r="B22" s="35" t="s">
        <v>84</v>
      </c>
      <c r="C22" s="35">
        <v>1E-4</v>
      </c>
      <c r="D22" s="35">
        <v>7</v>
      </c>
      <c r="E22" s="35">
        <v>100</v>
      </c>
      <c r="F22" s="35">
        <v>0.84399999999999997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52A6-767B-4784-9A41-CB5A43FF6066}">
  <dimension ref="A1:J36"/>
  <sheetViews>
    <sheetView workbookViewId="0">
      <pane ySplit="1" topLeftCell="A23" activePane="bottomLeft" state="frozen"/>
      <selection pane="bottomLeft" activeCell="R10" sqref="R10"/>
    </sheetView>
  </sheetViews>
  <sheetFormatPr defaultColWidth="9" defaultRowHeight="19.2" x14ac:dyDescent="0.4"/>
  <cols>
    <col min="1" max="1" width="11.5" style="2" hidden="1" customWidth="1"/>
    <col min="2" max="2" width="8.59765625" style="2" hidden="1" customWidth="1"/>
    <col min="3" max="3" width="12.8984375" style="2" customWidth="1"/>
    <col min="4" max="4" width="13.09765625" style="2" bestFit="1" customWidth="1"/>
    <col min="5" max="5" width="12.09765625" style="2" bestFit="1" customWidth="1"/>
    <col min="6" max="6" width="10.09765625" style="2" bestFit="1" customWidth="1"/>
    <col min="7" max="7" width="9.8984375" style="2" hidden="1" customWidth="1"/>
    <col min="8" max="8" width="17.19921875" style="2" bestFit="1" customWidth="1"/>
    <col min="9" max="9" width="16.59765625" style="2" hidden="1" customWidth="1"/>
    <col min="10" max="10" width="12.59765625" style="2" customWidth="1"/>
    <col min="11" max="11" width="13.59765625" style="2" bestFit="1" customWidth="1"/>
    <col min="12" max="16384" width="9" style="2"/>
  </cols>
  <sheetData>
    <row r="1" spans="1:10" customFormat="1" ht="21" x14ac:dyDescent="0.4">
      <c r="A1" s="1" t="s">
        <v>0</v>
      </c>
      <c r="B1" s="1" t="s">
        <v>1</v>
      </c>
      <c r="C1" s="1" t="s">
        <v>2</v>
      </c>
      <c r="D1" s="1" t="s">
        <v>91</v>
      </c>
      <c r="E1" s="1" t="s">
        <v>92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4">
      <c r="A2" s="2" t="s">
        <v>47</v>
      </c>
      <c r="B2" s="2" t="s">
        <v>19</v>
      </c>
      <c r="C2" s="2" t="s">
        <v>48</v>
      </c>
      <c r="D2" s="2" t="s">
        <v>93</v>
      </c>
      <c r="E2" s="2" t="s">
        <v>94</v>
      </c>
      <c r="F2" s="2">
        <v>1E-4</v>
      </c>
      <c r="G2" s="2">
        <v>100</v>
      </c>
      <c r="H2" s="2">
        <v>10</v>
      </c>
      <c r="I2" s="2" t="s">
        <v>14</v>
      </c>
      <c r="J2" s="5">
        <v>0.76800000000000002</v>
      </c>
    </row>
    <row r="3" spans="1:10" x14ac:dyDescent="0.4">
      <c r="A3" s="2" t="s">
        <v>47</v>
      </c>
      <c r="B3" s="2" t="s">
        <v>19</v>
      </c>
      <c r="C3" s="2" t="s">
        <v>48</v>
      </c>
      <c r="D3" s="2" t="s">
        <v>93</v>
      </c>
      <c r="E3" s="2" t="s">
        <v>94</v>
      </c>
      <c r="F3" s="2">
        <v>1E-4</v>
      </c>
      <c r="G3" s="2" t="s">
        <v>95</v>
      </c>
      <c r="H3" s="2">
        <v>10</v>
      </c>
      <c r="I3" s="2" t="s">
        <v>14</v>
      </c>
      <c r="J3" s="5">
        <v>0.76800000000000002</v>
      </c>
    </row>
    <row r="4" spans="1:10" x14ac:dyDescent="0.4">
      <c r="A4" s="2" t="s">
        <v>47</v>
      </c>
      <c r="B4" s="2" t="s">
        <v>19</v>
      </c>
      <c r="C4" s="2" t="s">
        <v>48</v>
      </c>
      <c r="D4" s="2" t="s">
        <v>93</v>
      </c>
      <c r="E4" s="2" t="s">
        <v>94</v>
      </c>
      <c r="F4" s="2">
        <v>1E-4</v>
      </c>
      <c r="G4" s="2">
        <v>100</v>
      </c>
      <c r="H4" s="2">
        <v>10</v>
      </c>
      <c r="I4" s="2" t="s">
        <v>14</v>
      </c>
      <c r="J4" s="6">
        <v>0.76500000000000001</v>
      </c>
    </row>
    <row r="5" spans="1:10" x14ac:dyDescent="0.4">
      <c r="A5" s="2" t="s">
        <v>47</v>
      </c>
      <c r="B5" s="2" t="s">
        <v>19</v>
      </c>
      <c r="C5" s="2" t="s">
        <v>48</v>
      </c>
      <c r="D5" s="2" t="s">
        <v>93</v>
      </c>
      <c r="E5" s="2" t="s">
        <v>94</v>
      </c>
      <c r="F5" s="2">
        <v>1E-3</v>
      </c>
      <c r="G5" s="2">
        <v>100</v>
      </c>
      <c r="H5" s="2">
        <v>8</v>
      </c>
      <c r="I5" s="2" t="s">
        <v>14</v>
      </c>
      <c r="J5" s="6">
        <v>0.76300000000000001</v>
      </c>
    </row>
    <row r="6" spans="1:10" x14ac:dyDescent="0.4">
      <c r="A6" s="2" t="s">
        <v>47</v>
      </c>
      <c r="B6" s="2" t="s">
        <v>19</v>
      </c>
      <c r="C6" s="2" t="s">
        <v>63</v>
      </c>
      <c r="D6" s="2" t="s">
        <v>93</v>
      </c>
      <c r="E6" s="2" t="s">
        <v>94</v>
      </c>
      <c r="F6" s="2">
        <v>1E-3</v>
      </c>
      <c r="G6" s="2">
        <v>100</v>
      </c>
      <c r="H6" s="2">
        <v>4</v>
      </c>
      <c r="I6" s="2" t="s">
        <v>14</v>
      </c>
      <c r="J6" s="6">
        <v>0.76100000000000001</v>
      </c>
    </row>
    <row r="7" spans="1:10" x14ac:dyDescent="0.4">
      <c r="A7" s="2" t="s">
        <v>47</v>
      </c>
      <c r="B7" s="2" t="s">
        <v>19</v>
      </c>
      <c r="C7" s="2" t="s">
        <v>30</v>
      </c>
      <c r="D7" s="2" t="s">
        <v>93</v>
      </c>
      <c r="E7" s="2" t="s">
        <v>94</v>
      </c>
      <c r="F7" s="2">
        <v>1E-3</v>
      </c>
      <c r="G7" s="2">
        <v>100</v>
      </c>
      <c r="H7" s="2">
        <v>18</v>
      </c>
      <c r="I7" s="2" t="s">
        <v>14</v>
      </c>
      <c r="J7" s="5">
        <v>0.75</v>
      </c>
    </row>
    <row r="8" spans="1:10" x14ac:dyDescent="0.4">
      <c r="A8" s="2" t="s">
        <v>47</v>
      </c>
      <c r="B8" s="2" t="s">
        <v>19</v>
      </c>
      <c r="C8" s="2" t="s">
        <v>20</v>
      </c>
      <c r="D8" s="2" t="s">
        <v>93</v>
      </c>
      <c r="E8" s="2" t="s">
        <v>94</v>
      </c>
      <c r="F8" s="2">
        <v>1E-3</v>
      </c>
      <c r="G8" s="2">
        <v>100</v>
      </c>
      <c r="H8" s="2">
        <v>16</v>
      </c>
      <c r="I8" s="2" t="s">
        <v>14</v>
      </c>
      <c r="J8" s="2">
        <v>0.75</v>
      </c>
    </row>
    <row r="9" spans="1:10" x14ac:dyDescent="0.4">
      <c r="A9" s="2" t="s">
        <v>96</v>
      </c>
      <c r="B9" s="2" t="s">
        <v>19</v>
      </c>
      <c r="C9" s="2" t="s">
        <v>30</v>
      </c>
      <c r="D9" s="2" t="s">
        <v>93</v>
      </c>
      <c r="E9" s="2" t="s">
        <v>94</v>
      </c>
      <c r="F9" s="2">
        <v>1E-3</v>
      </c>
      <c r="G9" s="2">
        <v>100</v>
      </c>
      <c r="H9" s="2">
        <v>16</v>
      </c>
      <c r="I9" s="2" t="s">
        <v>14</v>
      </c>
      <c r="J9" s="5">
        <v>0.749</v>
      </c>
    </row>
    <row r="10" spans="1:10" x14ac:dyDescent="0.4">
      <c r="A10" s="2" t="s">
        <v>96</v>
      </c>
      <c r="B10" s="2" t="s">
        <v>19</v>
      </c>
      <c r="C10" s="2" t="s">
        <v>30</v>
      </c>
      <c r="D10" s="2" t="s">
        <v>93</v>
      </c>
      <c r="E10" s="2" t="s">
        <v>94</v>
      </c>
      <c r="F10" s="2">
        <v>1E-3</v>
      </c>
      <c r="G10" s="2">
        <v>100</v>
      </c>
      <c r="H10" s="2">
        <v>18</v>
      </c>
      <c r="I10" s="2" t="s">
        <v>14</v>
      </c>
      <c r="J10" s="5">
        <v>0.747</v>
      </c>
    </row>
    <row r="11" spans="1:10" x14ac:dyDescent="0.4">
      <c r="A11" s="2" t="s">
        <v>96</v>
      </c>
      <c r="B11" s="2" t="s">
        <v>19</v>
      </c>
      <c r="C11" s="2" t="s">
        <v>97</v>
      </c>
      <c r="D11" s="2" t="s">
        <v>93</v>
      </c>
      <c r="E11" s="2" t="s">
        <v>94</v>
      </c>
      <c r="F11" s="2">
        <v>1E-3</v>
      </c>
      <c r="G11" s="2">
        <v>100</v>
      </c>
      <c r="H11" s="2">
        <v>40</v>
      </c>
      <c r="I11" s="2" t="s">
        <v>14</v>
      </c>
      <c r="J11" s="5">
        <v>0.74199999999999999</v>
      </c>
    </row>
    <row r="12" spans="1:10" x14ac:dyDescent="0.4">
      <c r="A12" s="2" t="s">
        <v>96</v>
      </c>
      <c r="B12" s="2" t="s">
        <v>19</v>
      </c>
      <c r="C12" s="2" t="s">
        <v>48</v>
      </c>
      <c r="D12" s="2" t="s">
        <v>93</v>
      </c>
      <c r="E12" s="2" t="s">
        <v>94</v>
      </c>
      <c r="F12" s="2">
        <v>1E-3</v>
      </c>
      <c r="G12" s="2">
        <v>100</v>
      </c>
      <c r="H12" s="2">
        <v>10</v>
      </c>
      <c r="I12" s="2" t="s">
        <v>14</v>
      </c>
      <c r="J12" s="2">
        <v>0.73199999999999998</v>
      </c>
    </row>
    <row r="13" spans="1:10" x14ac:dyDescent="0.4">
      <c r="A13" s="2" t="s">
        <v>33</v>
      </c>
      <c r="B13" s="2" t="s">
        <v>19</v>
      </c>
      <c r="C13" s="2" t="s">
        <v>63</v>
      </c>
      <c r="D13" s="2" t="s">
        <v>93</v>
      </c>
      <c r="E13" s="2" t="s">
        <v>94</v>
      </c>
      <c r="F13" s="2">
        <v>1E-4</v>
      </c>
      <c r="G13" s="2">
        <v>100</v>
      </c>
      <c r="H13" s="2">
        <v>4</v>
      </c>
      <c r="I13" s="2" t="s">
        <v>14</v>
      </c>
      <c r="J13" s="2">
        <v>0.72599999999999998</v>
      </c>
    </row>
    <row r="14" spans="1:10" x14ac:dyDescent="0.4">
      <c r="A14" s="2" t="s">
        <v>33</v>
      </c>
      <c r="B14" s="2" t="s">
        <v>19</v>
      </c>
      <c r="C14" s="2" t="s">
        <v>98</v>
      </c>
      <c r="D14" s="2" t="s">
        <v>93</v>
      </c>
      <c r="E14" s="2" t="s">
        <v>94</v>
      </c>
      <c r="F14" s="2">
        <v>1E-3</v>
      </c>
      <c r="G14" s="2">
        <v>100</v>
      </c>
      <c r="H14" s="2">
        <v>32</v>
      </c>
      <c r="I14" s="2" t="s">
        <v>14</v>
      </c>
      <c r="J14" s="2">
        <v>0.72099999999999997</v>
      </c>
    </row>
    <row r="15" spans="1:10" x14ac:dyDescent="0.4">
      <c r="A15" s="2" t="s">
        <v>33</v>
      </c>
      <c r="B15" s="2" t="s">
        <v>19</v>
      </c>
      <c r="C15" s="2" t="s">
        <v>42</v>
      </c>
      <c r="D15" s="2" t="s">
        <v>93</v>
      </c>
      <c r="E15" s="2" t="s">
        <v>94</v>
      </c>
      <c r="F15" s="2">
        <v>1E-3</v>
      </c>
      <c r="G15" s="2">
        <v>100</v>
      </c>
      <c r="H15" s="2">
        <v>16</v>
      </c>
      <c r="I15" s="2" t="s">
        <v>14</v>
      </c>
      <c r="J15" s="2">
        <v>0.71199999999999997</v>
      </c>
    </row>
    <row r="16" spans="1:10" x14ac:dyDescent="0.4">
      <c r="A16" s="2" t="s">
        <v>33</v>
      </c>
      <c r="B16" s="2" t="s">
        <v>19</v>
      </c>
      <c r="C16" s="2" t="s">
        <v>98</v>
      </c>
      <c r="D16" s="2" t="s">
        <v>93</v>
      </c>
      <c r="E16" s="2" t="s">
        <v>94</v>
      </c>
      <c r="F16" s="2">
        <v>0.01</v>
      </c>
      <c r="G16" s="2">
        <v>100</v>
      </c>
      <c r="H16" s="2">
        <v>32</v>
      </c>
      <c r="I16" s="2" t="s">
        <v>14</v>
      </c>
      <c r="J16" s="3">
        <v>0.69899999999999995</v>
      </c>
    </row>
    <row r="17" spans="1:10" x14ac:dyDescent="0.4">
      <c r="A17" s="2" t="s">
        <v>62</v>
      </c>
      <c r="B17" s="2" t="s">
        <v>19</v>
      </c>
      <c r="C17" s="2" t="s">
        <v>98</v>
      </c>
      <c r="D17" s="2" t="s">
        <v>93</v>
      </c>
      <c r="E17" s="2" t="s">
        <v>93</v>
      </c>
      <c r="F17" s="2">
        <v>0.01</v>
      </c>
      <c r="G17" s="2">
        <v>100</v>
      </c>
      <c r="H17" s="2">
        <v>64</v>
      </c>
      <c r="I17" s="2" t="s">
        <v>14</v>
      </c>
      <c r="J17" s="2">
        <v>0.69899999999999995</v>
      </c>
    </row>
    <row r="18" spans="1:10" x14ac:dyDescent="0.4">
      <c r="A18" s="2" t="s">
        <v>62</v>
      </c>
      <c r="B18" s="2" t="s">
        <v>19</v>
      </c>
      <c r="C18" s="2" t="s">
        <v>48</v>
      </c>
      <c r="D18" s="2" t="s">
        <v>93</v>
      </c>
      <c r="E18" s="2" t="s">
        <v>94</v>
      </c>
      <c r="F18" s="2">
        <v>0.01</v>
      </c>
      <c r="G18" s="2" t="s">
        <v>99</v>
      </c>
      <c r="H18" s="2">
        <v>48</v>
      </c>
      <c r="I18" s="2" t="s">
        <v>14</v>
      </c>
      <c r="J18" s="2">
        <v>0.68899999999999995</v>
      </c>
    </row>
    <row r="19" spans="1:10" x14ac:dyDescent="0.4">
      <c r="A19" s="2" t="s">
        <v>62</v>
      </c>
      <c r="B19" s="2" t="s">
        <v>19</v>
      </c>
      <c r="C19" s="2" t="s">
        <v>13</v>
      </c>
      <c r="D19" s="2" t="s">
        <v>93</v>
      </c>
      <c r="E19" s="2" t="s">
        <v>93</v>
      </c>
      <c r="F19" s="2">
        <v>1E-3</v>
      </c>
      <c r="G19" s="2">
        <v>100</v>
      </c>
      <c r="H19" s="2">
        <v>64</v>
      </c>
      <c r="I19" s="2" t="s">
        <v>14</v>
      </c>
      <c r="J19" s="2">
        <v>0.68</v>
      </c>
    </row>
    <row r="20" spans="1:10" x14ac:dyDescent="0.4">
      <c r="A20" s="2" t="s">
        <v>62</v>
      </c>
      <c r="B20" s="2" t="s">
        <v>19</v>
      </c>
      <c r="C20" s="2" t="s">
        <v>13</v>
      </c>
      <c r="D20" s="2" t="s">
        <v>93</v>
      </c>
      <c r="E20" s="2" t="s">
        <v>93</v>
      </c>
      <c r="F20" s="2">
        <v>0.01</v>
      </c>
      <c r="G20" s="2">
        <v>100</v>
      </c>
      <c r="H20" s="2">
        <v>64</v>
      </c>
      <c r="I20" s="2" t="s">
        <v>14</v>
      </c>
      <c r="J20" s="2">
        <v>0.67</v>
      </c>
    </row>
    <row r="21" spans="1:10" x14ac:dyDescent="0.4">
      <c r="A21" s="2" t="s">
        <v>62</v>
      </c>
      <c r="B21" s="2" t="s">
        <v>19</v>
      </c>
      <c r="C21" s="2" t="s">
        <v>13</v>
      </c>
      <c r="D21" s="2" t="s">
        <v>93</v>
      </c>
      <c r="E21" s="2" t="s">
        <v>94</v>
      </c>
      <c r="F21" s="2">
        <v>1E-3</v>
      </c>
      <c r="G21" s="2">
        <v>100</v>
      </c>
      <c r="H21" s="2">
        <v>64</v>
      </c>
      <c r="I21" s="2" t="s">
        <v>14</v>
      </c>
      <c r="J21" s="4">
        <v>0.66900000000000004</v>
      </c>
    </row>
    <row r="22" spans="1:10" x14ac:dyDescent="0.4">
      <c r="A22" s="2" t="s">
        <v>62</v>
      </c>
      <c r="B22" s="2" t="s">
        <v>19</v>
      </c>
      <c r="C22" s="2" t="s">
        <v>13</v>
      </c>
      <c r="D22" s="2" t="s">
        <v>93</v>
      </c>
      <c r="E22" s="2" t="s">
        <v>94</v>
      </c>
      <c r="F22" s="2">
        <v>0.01</v>
      </c>
      <c r="G22" s="2">
        <v>100</v>
      </c>
      <c r="H22" s="2">
        <v>64</v>
      </c>
      <c r="I22" s="2" t="s">
        <v>14</v>
      </c>
      <c r="J22" s="2">
        <v>0.65500000000000003</v>
      </c>
    </row>
    <row r="23" spans="1:10" x14ac:dyDescent="0.4">
      <c r="A23" s="2" t="s">
        <v>62</v>
      </c>
      <c r="B23" s="2" t="s">
        <v>19</v>
      </c>
      <c r="C23" s="2" t="s">
        <v>13</v>
      </c>
      <c r="D23" s="2" t="s">
        <v>93</v>
      </c>
      <c r="E23" s="2" t="s">
        <v>94</v>
      </c>
      <c r="F23" s="2">
        <v>0.01</v>
      </c>
      <c r="G23" s="2">
        <v>100</v>
      </c>
      <c r="H23" s="2">
        <v>64</v>
      </c>
      <c r="I23" s="2" t="s">
        <v>14</v>
      </c>
      <c r="J23" s="2">
        <v>0.61799999999999999</v>
      </c>
    </row>
    <row r="24" spans="1:10" x14ac:dyDescent="0.4">
      <c r="A24" s="2" t="s">
        <v>62</v>
      </c>
      <c r="B24" s="2" t="s">
        <v>19</v>
      </c>
      <c r="C24" s="2" t="s">
        <v>97</v>
      </c>
      <c r="D24" s="2" t="s">
        <v>94</v>
      </c>
      <c r="E24" s="2" t="s">
        <v>94</v>
      </c>
      <c r="F24" s="2">
        <v>1E-3</v>
      </c>
      <c r="G24" s="2">
        <v>100</v>
      </c>
      <c r="H24" s="2">
        <v>40</v>
      </c>
      <c r="I24" s="2" t="s">
        <v>14</v>
      </c>
      <c r="J24" s="2">
        <v>0.61499999999999999</v>
      </c>
    </row>
    <row r="25" spans="1:10" x14ac:dyDescent="0.4">
      <c r="A25" s="2" t="s">
        <v>18</v>
      </c>
      <c r="B25" s="2" t="s">
        <v>19</v>
      </c>
      <c r="C25" s="2" t="s">
        <v>97</v>
      </c>
      <c r="D25" s="2" t="s">
        <v>94</v>
      </c>
      <c r="E25" s="2" t="s">
        <v>93</v>
      </c>
      <c r="F25" s="2">
        <v>1E-3</v>
      </c>
      <c r="G25" s="2">
        <v>100</v>
      </c>
      <c r="H25" s="2">
        <v>32</v>
      </c>
      <c r="I25" s="2" t="s">
        <v>14</v>
      </c>
      <c r="J25" s="2">
        <v>0.61399999999999999</v>
      </c>
    </row>
    <row r="26" spans="1:10" x14ac:dyDescent="0.4">
      <c r="A26" s="2" t="s">
        <v>18</v>
      </c>
      <c r="B26" s="2" t="s">
        <v>19</v>
      </c>
      <c r="C26" s="2" t="s">
        <v>97</v>
      </c>
      <c r="D26" s="2" t="s">
        <v>94</v>
      </c>
      <c r="E26" s="2" t="s">
        <v>94</v>
      </c>
      <c r="F26" s="2">
        <v>1E-3</v>
      </c>
      <c r="G26" s="2">
        <v>100</v>
      </c>
      <c r="H26" s="2">
        <v>32</v>
      </c>
      <c r="I26" s="2" t="s">
        <v>14</v>
      </c>
      <c r="J26" s="2">
        <v>0.61099999999999999</v>
      </c>
    </row>
    <row r="27" spans="1:10" x14ac:dyDescent="0.4">
      <c r="A27" s="2" t="s">
        <v>18</v>
      </c>
      <c r="B27" s="2" t="s">
        <v>19</v>
      </c>
      <c r="C27" s="2" t="s">
        <v>97</v>
      </c>
      <c r="D27" s="2" t="s">
        <v>94</v>
      </c>
      <c r="E27" s="2" t="s">
        <v>93</v>
      </c>
      <c r="F27" s="2">
        <v>0.01</v>
      </c>
      <c r="G27" s="2">
        <v>100</v>
      </c>
      <c r="H27" s="2">
        <v>32</v>
      </c>
      <c r="I27" s="2" t="s">
        <v>14</v>
      </c>
      <c r="J27" s="2">
        <v>0.59599999999999997</v>
      </c>
    </row>
    <row r="28" spans="1:10" x14ac:dyDescent="0.4">
      <c r="A28" s="2" t="s">
        <v>18</v>
      </c>
      <c r="B28" s="2" t="s">
        <v>19</v>
      </c>
      <c r="C28" s="2" t="s">
        <v>98</v>
      </c>
      <c r="D28" s="2" t="s">
        <v>94</v>
      </c>
      <c r="E28" s="2" t="s">
        <v>93</v>
      </c>
      <c r="F28" s="2">
        <v>1E-3</v>
      </c>
      <c r="G28" s="2">
        <v>100</v>
      </c>
      <c r="H28" s="2">
        <v>64</v>
      </c>
      <c r="I28" s="2" t="s">
        <v>14</v>
      </c>
      <c r="J28" s="2">
        <v>0.59399999999999997</v>
      </c>
    </row>
    <row r="29" spans="1:10" x14ac:dyDescent="0.4">
      <c r="A29" s="2" t="s">
        <v>18</v>
      </c>
      <c r="B29" s="2" t="s">
        <v>19</v>
      </c>
      <c r="C29" s="2" t="s">
        <v>13</v>
      </c>
      <c r="D29" s="2" t="s">
        <v>93</v>
      </c>
      <c r="E29" s="2" t="s">
        <v>94</v>
      </c>
      <c r="F29" s="2">
        <v>1E-4</v>
      </c>
      <c r="G29" s="2">
        <v>100</v>
      </c>
      <c r="H29" s="2">
        <v>64</v>
      </c>
      <c r="I29" s="2" t="s">
        <v>14</v>
      </c>
      <c r="J29" s="2">
        <v>0.59</v>
      </c>
    </row>
    <row r="30" spans="1:10" x14ac:dyDescent="0.4">
      <c r="A30" s="2" t="s">
        <v>18</v>
      </c>
      <c r="B30" s="2" t="s">
        <v>19</v>
      </c>
      <c r="C30" s="2" t="s">
        <v>98</v>
      </c>
      <c r="D30" s="2" t="s">
        <v>94</v>
      </c>
      <c r="E30" s="2" t="s">
        <v>94</v>
      </c>
      <c r="F30" s="2">
        <v>1E-3</v>
      </c>
      <c r="G30" s="2">
        <v>100</v>
      </c>
      <c r="H30" s="2">
        <v>32</v>
      </c>
      <c r="I30" s="2" t="s">
        <v>14</v>
      </c>
      <c r="J30" s="3">
        <v>0.58599999999999997</v>
      </c>
    </row>
    <row r="31" spans="1:10" x14ac:dyDescent="0.4">
      <c r="A31" s="2" t="s">
        <v>18</v>
      </c>
      <c r="B31" s="2" t="s">
        <v>59</v>
      </c>
      <c r="C31" s="2" t="s">
        <v>97</v>
      </c>
      <c r="D31" s="2" t="s">
        <v>94</v>
      </c>
      <c r="E31" s="2" t="s">
        <v>94</v>
      </c>
      <c r="F31" s="2">
        <v>0.01</v>
      </c>
      <c r="G31" s="2">
        <v>100</v>
      </c>
      <c r="H31" s="2">
        <v>40</v>
      </c>
      <c r="I31" s="2" t="s">
        <v>14</v>
      </c>
      <c r="J31" s="2">
        <v>0.58599999999999997</v>
      </c>
    </row>
    <row r="32" spans="1:10" x14ac:dyDescent="0.4">
      <c r="A32" s="2" t="s">
        <v>29</v>
      </c>
      <c r="B32" s="2" t="s">
        <v>19</v>
      </c>
      <c r="C32" s="2" t="s">
        <v>98</v>
      </c>
      <c r="D32" s="2" t="s">
        <v>94</v>
      </c>
      <c r="E32" s="2" t="s">
        <v>93</v>
      </c>
      <c r="F32" s="2">
        <v>0.01</v>
      </c>
      <c r="G32" s="2">
        <v>100</v>
      </c>
      <c r="H32" s="2">
        <v>64</v>
      </c>
      <c r="I32" s="2" t="s">
        <v>14</v>
      </c>
      <c r="J32" s="2">
        <v>0.57099999999999995</v>
      </c>
    </row>
    <row r="33" spans="1:10" x14ac:dyDescent="0.4">
      <c r="A33" s="2" t="s">
        <v>29</v>
      </c>
      <c r="B33" s="2" t="s">
        <v>19</v>
      </c>
      <c r="C33" s="2" t="s">
        <v>13</v>
      </c>
      <c r="D33" s="2" t="s">
        <v>94</v>
      </c>
      <c r="E33" s="2" t="s">
        <v>93</v>
      </c>
      <c r="F33" s="2">
        <v>1E-3</v>
      </c>
      <c r="G33" s="2">
        <v>100</v>
      </c>
      <c r="H33" s="2">
        <v>32</v>
      </c>
      <c r="I33" s="2" t="s">
        <v>14</v>
      </c>
      <c r="J33" s="2">
        <v>0.55000000000000004</v>
      </c>
    </row>
    <row r="34" spans="1:10" x14ac:dyDescent="0.4">
      <c r="A34" s="2" t="s">
        <v>29</v>
      </c>
      <c r="B34" s="2" t="s">
        <v>19</v>
      </c>
      <c r="C34" s="2" t="s">
        <v>13</v>
      </c>
      <c r="D34" s="2" t="s">
        <v>94</v>
      </c>
      <c r="E34" s="2" t="s">
        <v>94</v>
      </c>
      <c r="F34" s="2">
        <v>1E-3</v>
      </c>
      <c r="G34" s="2">
        <v>100</v>
      </c>
      <c r="H34" s="2">
        <v>64</v>
      </c>
      <c r="I34" s="2" t="s">
        <v>14</v>
      </c>
      <c r="J34" s="4">
        <v>0.53200000000000003</v>
      </c>
    </row>
    <row r="35" spans="1:10" x14ac:dyDescent="0.4">
      <c r="A35" s="2" t="s">
        <v>29</v>
      </c>
      <c r="B35" s="2" t="s">
        <v>19</v>
      </c>
      <c r="C35" s="2" t="s">
        <v>13</v>
      </c>
      <c r="D35" s="2" t="s">
        <v>94</v>
      </c>
      <c r="E35" s="2" t="s">
        <v>93</v>
      </c>
      <c r="F35" s="2">
        <v>0.01</v>
      </c>
      <c r="G35" s="2">
        <v>100</v>
      </c>
      <c r="H35" s="2">
        <v>64</v>
      </c>
      <c r="I35" s="2" t="s">
        <v>14</v>
      </c>
      <c r="J35" s="2">
        <v>0.53200000000000003</v>
      </c>
    </row>
    <row r="36" spans="1:10" x14ac:dyDescent="0.4">
      <c r="A36" s="2" t="s">
        <v>29</v>
      </c>
      <c r="B36" s="2" t="s">
        <v>19</v>
      </c>
      <c r="C36" s="2" t="s">
        <v>13</v>
      </c>
      <c r="D36" s="2" t="s">
        <v>94</v>
      </c>
      <c r="E36" s="2" t="s">
        <v>94</v>
      </c>
      <c r="F36" s="2">
        <v>0.01</v>
      </c>
      <c r="G36" s="2">
        <v>100</v>
      </c>
      <c r="H36" s="2">
        <v>64</v>
      </c>
      <c r="I36" s="2" t="s">
        <v>14</v>
      </c>
      <c r="J36" s="2">
        <v>0.51900000000000002</v>
      </c>
    </row>
  </sheetData>
  <autoFilter ref="C1:J36" xr:uid="{416E52A6-767B-4784-9A41-CB5A43FF6066}">
    <sortState xmlns:xlrd2="http://schemas.microsoft.com/office/spreadsheetml/2017/richdata2" ref="C2:J36">
      <sortCondition descending="1" ref="J1:J36"/>
    </sortState>
  </autoFilter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8CD3-13AB-4B7B-B66E-A3F09D932223}">
  <dimension ref="A2:O50"/>
  <sheetViews>
    <sheetView zoomScale="70" zoomScaleNormal="70" workbookViewId="0">
      <selection activeCell="O21" sqref="O21"/>
    </sheetView>
  </sheetViews>
  <sheetFormatPr defaultRowHeight="17.399999999999999" x14ac:dyDescent="0.4"/>
  <cols>
    <col min="1" max="1" width="13.09765625" bestFit="1" customWidth="1"/>
    <col min="2" max="2" width="14.8984375" bestFit="1" customWidth="1"/>
    <col min="3" max="3" width="13.19921875" customWidth="1"/>
    <col min="4" max="4" width="12.09765625" bestFit="1" customWidth="1"/>
    <col min="5" max="5" width="18" bestFit="1" customWidth="1"/>
    <col min="6" max="6" width="13.19921875" customWidth="1"/>
    <col min="7" max="7" width="14" bestFit="1" customWidth="1"/>
    <col min="8" max="8" width="13.09765625" bestFit="1" customWidth="1"/>
    <col min="9" max="9" width="15.5" bestFit="1" customWidth="1"/>
    <col min="10" max="10" width="18" bestFit="1" customWidth="1"/>
    <col min="11" max="11" width="12.19921875" customWidth="1"/>
    <col min="12" max="12" width="18.3984375" bestFit="1" customWidth="1"/>
    <col min="13" max="13" width="13.69921875" customWidth="1"/>
    <col min="14" max="14" width="14.19921875" customWidth="1"/>
    <col min="15" max="15" width="9.19921875" bestFit="1" customWidth="1"/>
  </cols>
  <sheetData>
    <row r="2" spans="2:15" ht="21" x14ac:dyDescent="0.4">
      <c r="B2" s="21" t="s">
        <v>100</v>
      </c>
      <c r="C2" s="21" t="s">
        <v>101</v>
      </c>
      <c r="D2" s="21" t="s">
        <v>102</v>
      </c>
      <c r="E2" s="21" t="s">
        <v>103</v>
      </c>
      <c r="F2" s="21" t="s">
        <v>104</v>
      </c>
      <c r="G2" s="21" t="s">
        <v>81</v>
      </c>
      <c r="I2" s="21" t="s">
        <v>100</v>
      </c>
      <c r="J2" s="21" t="s">
        <v>101</v>
      </c>
      <c r="K2" s="21" t="s">
        <v>92</v>
      </c>
      <c r="L2" s="21" t="s">
        <v>103</v>
      </c>
      <c r="M2" s="21" t="s">
        <v>104</v>
      </c>
      <c r="N2" s="21" t="s">
        <v>7</v>
      </c>
    </row>
    <row r="3" spans="2:15" ht="19.2" x14ac:dyDescent="0.4">
      <c r="B3" s="2" t="s">
        <v>86</v>
      </c>
      <c r="C3" s="2" t="s">
        <v>94</v>
      </c>
      <c r="D3" s="2" t="s">
        <v>94</v>
      </c>
      <c r="E3" s="2">
        <v>1E-3</v>
      </c>
      <c r="F3" s="2">
        <v>40</v>
      </c>
      <c r="G3" s="2">
        <v>0.61499999999999999</v>
      </c>
      <c r="I3" s="2" t="s">
        <v>90</v>
      </c>
      <c r="J3" s="2" t="s">
        <v>94</v>
      </c>
      <c r="K3" s="2" t="s">
        <v>94</v>
      </c>
      <c r="L3" s="2">
        <v>0.01</v>
      </c>
      <c r="M3" s="2">
        <v>64</v>
      </c>
      <c r="N3" s="2">
        <v>0.51900000000000002</v>
      </c>
      <c r="O3" s="2"/>
    </row>
    <row r="4" spans="2:15" ht="19.2" x14ac:dyDescent="0.4">
      <c r="B4" s="2" t="s">
        <v>86</v>
      </c>
      <c r="C4" s="2" t="s">
        <v>94</v>
      </c>
      <c r="D4" s="2" t="s">
        <v>94</v>
      </c>
      <c r="E4" s="2">
        <v>1E-3</v>
      </c>
      <c r="F4" s="2">
        <v>32</v>
      </c>
      <c r="G4" s="2">
        <v>0.61099999999999999</v>
      </c>
      <c r="I4" s="2" t="s">
        <v>90</v>
      </c>
      <c r="J4" s="2" t="s">
        <v>94</v>
      </c>
      <c r="K4" s="2" t="s">
        <v>93</v>
      </c>
      <c r="L4" s="2">
        <v>0.01</v>
      </c>
      <c r="M4" s="2">
        <v>64</v>
      </c>
      <c r="N4" s="2">
        <v>0.53200000000000003</v>
      </c>
      <c r="O4" s="2"/>
    </row>
    <row r="5" spans="2:15" ht="19.2" x14ac:dyDescent="0.4">
      <c r="B5" s="2" t="s">
        <v>87</v>
      </c>
      <c r="C5" s="2" t="s">
        <v>94</v>
      </c>
      <c r="D5" s="2" t="s">
        <v>94</v>
      </c>
      <c r="E5" s="2">
        <v>1E-3</v>
      </c>
      <c r="F5" s="2">
        <v>32</v>
      </c>
      <c r="G5" s="3">
        <v>0.58599999999999997</v>
      </c>
      <c r="I5" s="2"/>
      <c r="J5" s="2"/>
      <c r="K5" s="2"/>
      <c r="L5" s="2"/>
      <c r="M5" s="2"/>
      <c r="N5" s="2"/>
      <c r="O5" s="2"/>
    </row>
    <row r="6" spans="2:15" ht="19.2" x14ac:dyDescent="0.4">
      <c r="B6" s="2" t="s">
        <v>86</v>
      </c>
      <c r="C6" s="2" t="s">
        <v>94</v>
      </c>
      <c r="D6" s="2" t="s">
        <v>94</v>
      </c>
      <c r="E6" s="2">
        <v>0.01</v>
      </c>
      <c r="F6" s="2">
        <v>40</v>
      </c>
      <c r="G6" s="2">
        <v>0.58599999999999997</v>
      </c>
      <c r="I6" s="2" t="s">
        <v>86</v>
      </c>
      <c r="J6" s="2" t="s">
        <v>94</v>
      </c>
      <c r="K6" s="2" t="s">
        <v>94</v>
      </c>
      <c r="L6" s="2">
        <v>0.01</v>
      </c>
      <c r="M6" s="2">
        <v>40</v>
      </c>
      <c r="N6" s="2">
        <v>0.58599999999999997</v>
      </c>
      <c r="O6" s="2"/>
    </row>
    <row r="7" spans="2:15" ht="19.2" x14ac:dyDescent="0.4">
      <c r="B7" s="2" t="s">
        <v>90</v>
      </c>
      <c r="C7" s="2" t="s">
        <v>94</v>
      </c>
      <c r="D7" s="2" t="s">
        <v>94</v>
      </c>
      <c r="E7" s="2">
        <v>1E-3</v>
      </c>
      <c r="F7" s="2">
        <v>64</v>
      </c>
      <c r="G7" s="4">
        <v>0.53200000000000003</v>
      </c>
      <c r="I7" s="2" t="s">
        <v>86</v>
      </c>
      <c r="J7" s="2" t="s">
        <v>94</v>
      </c>
      <c r="K7" s="2" t="s">
        <v>93</v>
      </c>
      <c r="L7" s="2">
        <v>0.01</v>
      </c>
      <c r="M7" s="2">
        <v>32</v>
      </c>
      <c r="N7" s="2">
        <v>0.59599999999999997</v>
      </c>
      <c r="O7" s="2"/>
    </row>
    <row r="8" spans="2:15" ht="19.2" x14ac:dyDescent="0.4">
      <c r="B8" s="2" t="s">
        <v>90</v>
      </c>
      <c r="C8" s="2" t="s">
        <v>94</v>
      </c>
      <c r="D8" s="2" t="s">
        <v>94</v>
      </c>
      <c r="E8" s="2">
        <v>0.01</v>
      </c>
      <c r="F8" s="2">
        <v>64</v>
      </c>
      <c r="G8" s="2">
        <v>0.51900000000000002</v>
      </c>
      <c r="I8" s="2"/>
      <c r="J8" s="2"/>
      <c r="K8" s="2"/>
      <c r="L8" s="2"/>
      <c r="M8" s="2"/>
      <c r="N8" s="2"/>
      <c r="O8" s="3"/>
    </row>
    <row r="9" spans="2:15" ht="19.2" x14ac:dyDescent="0.4">
      <c r="I9" s="2"/>
      <c r="J9" s="2"/>
      <c r="K9" s="2"/>
      <c r="L9" s="2"/>
      <c r="M9" s="2"/>
      <c r="N9" s="2"/>
      <c r="O9" s="4"/>
    </row>
    <row r="10" spans="2:15" ht="21" x14ac:dyDescent="0.4">
      <c r="B10" s="21" t="s">
        <v>100</v>
      </c>
      <c r="C10" s="21" t="s">
        <v>101</v>
      </c>
      <c r="D10" s="21" t="s">
        <v>102</v>
      </c>
      <c r="E10" s="21" t="s">
        <v>103</v>
      </c>
      <c r="F10" s="21" t="s">
        <v>104</v>
      </c>
      <c r="G10" s="21" t="s">
        <v>81</v>
      </c>
      <c r="I10" s="2"/>
      <c r="J10" s="2"/>
      <c r="K10" s="2"/>
      <c r="L10" s="2"/>
      <c r="M10" s="2"/>
      <c r="N10" s="2"/>
      <c r="O10" s="2"/>
    </row>
    <row r="11" spans="2:15" ht="19.2" x14ac:dyDescent="0.4">
      <c r="B11" s="2" t="s">
        <v>86</v>
      </c>
      <c r="C11" s="2" t="s">
        <v>94</v>
      </c>
      <c r="D11" s="2" t="s">
        <v>93</v>
      </c>
      <c r="E11" s="2">
        <v>1E-3</v>
      </c>
      <c r="F11" s="2">
        <v>32</v>
      </c>
      <c r="G11" s="2">
        <v>0.61399999999999999</v>
      </c>
      <c r="I11" s="2"/>
      <c r="J11" s="2"/>
      <c r="K11" s="2"/>
      <c r="L11" s="2"/>
      <c r="M11" s="2"/>
      <c r="N11" s="2"/>
      <c r="O11" s="2"/>
    </row>
    <row r="12" spans="2:15" ht="19.2" x14ac:dyDescent="0.4">
      <c r="B12" s="2" t="s">
        <v>86</v>
      </c>
      <c r="C12" s="2" t="s">
        <v>94</v>
      </c>
      <c r="D12" s="2" t="s">
        <v>93</v>
      </c>
      <c r="E12" s="2">
        <v>0.01</v>
      </c>
      <c r="F12" s="2">
        <v>32</v>
      </c>
      <c r="G12" s="2">
        <v>0.59599999999999997</v>
      </c>
      <c r="I12" s="2"/>
      <c r="J12" s="2"/>
      <c r="K12" s="2"/>
      <c r="L12" s="2"/>
      <c r="M12" s="2"/>
      <c r="N12" s="2"/>
      <c r="O12" s="2"/>
    </row>
    <row r="13" spans="2:15" ht="19.2" x14ac:dyDescent="0.4">
      <c r="B13" s="2" t="s">
        <v>87</v>
      </c>
      <c r="C13" s="2" t="s">
        <v>94</v>
      </c>
      <c r="D13" s="2" t="s">
        <v>93</v>
      </c>
      <c r="E13" s="2">
        <v>1E-3</v>
      </c>
      <c r="F13" s="2">
        <v>64</v>
      </c>
      <c r="G13" s="2">
        <v>0.59399999999999997</v>
      </c>
      <c r="I13" s="2"/>
      <c r="J13" s="2"/>
      <c r="K13" s="2"/>
      <c r="L13" s="2"/>
      <c r="M13" s="2"/>
      <c r="N13" s="2"/>
      <c r="O13" s="2"/>
    </row>
    <row r="14" spans="2:15" ht="19.2" x14ac:dyDescent="0.4">
      <c r="B14" s="2" t="s">
        <v>87</v>
      </c>
      <c r="C14" s="2" t="s">
        <v>94</v>
      </c>
      <c r="D14" s="2" t="s">
        <v>93</v>
      </c>
      <c r="E14" s="2">
        <v>0.01</v>
      </c>
      <c r="F14" s="2">
        <v>64</v>
      </c>
      <c r="G14" s="2">
        <v>0.57099999999999995</v>
      </c>
      <c r="I14" s="2"/>
      <c r="J14" s="2"/>
      <c r="K14" s="2"/>
      <c r="L14" s="2"/>
      <c r="M14" s="2"/>
      <c r="N14" s="2"/>
      <c r="O14" s="2"/>
    </row>
    <row r="15" spans="2:15" ht="19.2" x14ac:dyDescent="0.4">
      <c r="B15" s="2" t="s">
        <v>90</v>
      </c>
      <c r="C15" s="2" t="s">
        <v>94</v>
      </c>
      <c r="D15" s="2" t="s">
        <v>93</v>
      </c>
      <c r="E15" s="2">
        <v>1E-3</v>
      </c>
      <c r="F15" s="2">
        <v>32</v>
      </c>
      <c r="G15" s="2">
        <v>0.55000000000000004</v>
      </c>
      <c r="O15" s="2"/>
    </row>
    <row r="16" spans="2:15" ht="19.2" x14ac:dyDescent="0.4">
      <c r="B16" s="2" t="s">
        <v>90</v>
      </c>
      <c r="C16" s="2" t="s">
        <v>94</v>
      </c>
      <c r="D16" s="2" t="s">
        <v>93</v>
      </c>
      <c r="E16" s="2">
        <v>0.01</v>
      </c>
      <c r="F16" s="2">
        <v>64</v>
      </c>
      <c r="G16" s="2">
        <v>0.53200000000000003</v>
      </c>
      <c r="O16" s="2"/>
    </row>
    <row r="17" spans="1:15" ht="19.2" x14ac:dyDescent="0.4">
      <c r="O17" s="2"/>
    </row>
    <row r="18" spans="1:15" ht="21" x14ac:dyDescent="0.4">
      <c r="B18" s="21" t="s">
        <v>100</v>
      </c>
      <c r="C18" s="21" t="s">
        <v>101</v>
      </c>
      <c r="D18" s="21" t="s">
        <v>102</v>
      </c>
      <c r="E18" s="21" t="s">
        <v>103</v>
      </c>
      <c r="F18" s="21" t="s">
        <v>104</v>
      </c>
      <c r="G18" s="21" t="s">
        <v>81</v>
      </c>
      <c r="O18" s="2"/>
    </row>
    <row r="19" spans="1:15" ht="19.2" x14ac:dyDescent="0.4">
      <c r="B19" s="2" t="s">
        <v>87</v>
      </c>
      <c r="C19" s="2" t="s">
        <v>93</v>
      </c>
      <c r="D19" s="2" t="s">
        <v>93</v>
      </c>
      <c r="E19" s="2">
        <v>0.01</v>
      </c>
      <c r="F19" s="2">
        <v>64</v>
      </c>
      <c r="G19" s="2">
        <v>0.69899999999999995</v>
      </c>
      <c r="O19" s="2"/>
    </row>
    <row r="20" spans="1:15" ht="19.2" x14ac:dyDescent="0.4">
      <c r="B20" s="2" t="s">
        <v>90</v>
      </c>
      <c r="C20" s="2" t="s">
        <v>93</v>
      </c>
      <c r="D20" s="2" t="s">
        <v>93</v>
      </c>
      <c r="E20" s="2">
        <v>1E-3</v>
      </c>
      <c r="F20" s="2">
        <v>64</v>
      </c>
      <c r="G20" s="2">
        <v>0.68</v>
      </c>
      <c r="O20" s="2"/>
    </row>
    <row r="21" spans="1:15" ht="19.2" x14ac:dyDescent="0.4">
      <c r="B21" s="2" t="s">
        <v>90</v>
      </c>
      <c r="C21" s="2" t="s">
        <v>93</v>
      </c>
      <c r="D21" s="2" t="s">
        <v>93</v>
      </c>
      <c r="E21" s="2">
        <v>0.01</v>
      </c>
      <c r="F21" s="2">
        <v>64</v>
      </c>
      <c r="G21" s="2">
        <v>0.67</v>
      </c>
      <c r="O21" s="2"/>
    </row>
    <row r="22" spans="1:15" ht="19.2" x14ac:dyDescent="0.4">
      <c r="O22" s="2"/>
    </row>
    <row r="23" spans="1:15" ht="21" x14ac:dyDescent="0.4">
      <c r="A23" s="70">
        <v>230220</v>
      </c>
      <c r="B23" s="21" t="s">
        <v>100</v>
      </c>
      <c r="C23" s="21" t="s">
        <v>101</v>
      </c>
      <c r="D23" s="21" t="s">
        <v>102</v>
      </c>
      <c r="E23" s="21" t="s">
        <v>103</v>
      </c>
      <c r="F23" s="21" t="s">
        <v>104</v>
      </c>
      <c r="G23" s="21" t="s">
        <v>81</v>
      </c>
    </row>
    <row r="24" spans="1:15" ht="19.2" x14ac:dyDescent="0.4">
      <c r="B24" s="2" t="s">
        <v>83</v>
      </c>
      <c r="C24" s="2" t="s">
        <v>93</v>
      </c>
      <c r="D24" s="2" t="s">
        <v>94</v>
      </c>
      <c r="E24" s="2">
        <v>1E-4</v>
      </c>
      <c r="F24" s="2">
        <v>10</v>
      </c>
      <c r="G24" s="2">
        <v>0.76800000000000002</v>
      </c>
    </row>
    <row r="25" spans="1:15" ht="19.2" x14ac:dyDescent="0.4">
      <c r="B25" s="2" t="s">
        <v>83</v>
      </c>
      <c r="C25" s="2" t="s">
        <v>93</v>
      </c>
      <c r="D25" s="2" t="s">
        <v>94</v>
      </c>
      <c r="E25" s="2">
        <v>1E-4</v>
      </c>
      <c r="F25" s="2">
        <v>10</v>
      </c>
      <c r="G25" s="2">
        <v>0.76800000000000002</v>
      </c>
    </row>
    <row r="26" spans="1:15" ht="19.2" x14ac:dyDescent="0.4">
      <c r="B26" s="2" t="s">
        <v>83</v>
      </c>
      <c r="C26" s="2" t="s">
        <v>93</v>
      </c>
      <c r="D26" s="2" t="s">
        <v>94</v>
      </c>
      <c r="E26" s="2">
        <v>1E-4</v>
      </c>
      <c r="F26" s="2">
        <v>10</v>
      </c>
      <c r="G26" s="2">
        <v>0.76500000000000001</v>
      </c>
    </row>
    <row r="27" spans="1:15" ht="19.2" x14ac:dyDescent="0.4">
      <c r="B27" s="2" t="s">
        <v>83</v>
      </c>
      <c r="C27" s="2" t="s">
        <v>93</v>
      </c>
      <c r="D27" s="2" t="s">
        <v>94</v>
      </c>
      <c r="E27" s="2">
        <v>1E-3</v>
      </c>
      <c r="F27" s="2">
        <v>8</v>
      </c>
      <c r="G27" s="2">
        <v>0.76300000000000001</v>
      </c>
    </row>
    <row r="28" spans="1:15" ht="19.2" x14ac:dyDescent="0.4">
      <c r="B28" s="2" t="s">
        <v>84</v>
      </c>
      <c r="C28" s="2" t="s">
        <v>93</v>
      </c>
      <c r="D28" s="2" t="s">
        <v>94</v>
      </c>
      <c r="E28" s="2">
        <v>1E-3</v>
      </c>
      <c r="F28" s="2">
        <v>4</v>
      </c>
      <c r="G28" s="2">
        <v>0.76100000000000001</v>
      </c>
    </row>
    <row r="29" spans="1:15" ht="19.2" x14ac:dyDescent="0.4">
      <c r="B29" s="2" t="s">
        <v>82</v>
      </c>
      <c r="C29" s="2" t="s">
        <v>93</v>
      </c>
      <c r="D29" s="2" t="s">
        <v>94</v>
      </c>
      <c r="E29" s="2">
        <v>1E-3</v>
      </c>
      <c r="F29" s="2">
        <v>18</v>
      </c>
      <c r="G29" s="2">
        <v>0.75</v>
      </c>
    </row>
    <row r="30" spans="1:15" ht="19.2" x14ac:dyDescent="0.4">
      <c r="B30" s="2" t="s">
        <v>85</v>
      </c>
      <c r="C30" s="2" t="s">
        <v>93</v>
      </c>
      <c r="D30" s="2" t="s">
        <v>94</v>
      </c>
      <c r="E30" s="2">
        <v>1E-3</v>
      </c>
      <c r="F30" s="2">
        <v>16</v>
      </c>
      <c r="G30" s="2">
        <v>0.75</v>
      </c>
    </row>
    <row r="31" spans="1:15" ht="19.2" x14ac:dyDescent="0.4">
      <c r="B31" s="2" t="s">
        <v>82</v>
      </c>
      <c r="C31" s="2" t="s">
        <v>93</v>
      </c>
      <c r="D31" s="2" t="s">
        <v>94</v>
      </c>
      <c r="E31" s="2">
        <v>1E-3</v>
      </c>
      <c r="F31" s="2">
        <v>16</v>
      </c>
      <c r="G31" s="2">
        <v>0.749</v>
      </c>
    </row>
    <row r="32" spans="1:15" ht="19.2" x14ac:dyDescent="0.4">
      <c r="B32" s="2" t="s">
        <v>82</v>
      </c>
      <c r="C32" s="2" t="s">
        <v>93</v>
      </c>
      <c r="D32" s="2" t="s">
        <v>94</v>
      </c>
      <c r="E32" s="2">
        <v>1E-3</v>
      </c>
      <c r="F32" s="2">
        <v>18</v>
      </c>
      <c r="G32" s="2">
        <v>0.747</v>
      </c>
    </row>
    <row r="33" spans="2:14" ht="19.2" x14ac:dyDescent="0.4">
      <c r="B33" s="2" t="s">
        <v>86</v>
      </c>
      <c r="C33" s="2" t="s">
        <v>93</v>
      </c>
      <c r="D33" s="2" t="s">
        <v>94</v>
      </c>
      <c r="E33" s="2">
        <v>1E-3</v>
      </c>
      <c r="F33" s="2">
        <v>40</v>
      </c>
      <c r="G33" s="2">
        <v>0.74199999999999999</v>
      </c>
    </row>
    <row r="34" spans="2:14" ht="19.2" x14ac:dyDescent="0.4">
      <c r="B34" s="2" t="s">
        <v>83</v>
      </c>
      <c r="C34" s="2" t="s">
        <v>93</v>
      </c>
      <c r="D34" s="2" t="s">
        <v>94</v>
      </c>
      <c r="E34" s="2">
        <v>1E-3</v>
      </c>
      <c r="F34" s="2">
        <v>10</v>
      </c>
      <c r="G34" s="2">
        <v>0.73199999999999998</v>
      </c>
    </row>
    <row r="35" spans="2:14" ht="19.2" x14ac:dyDescent="0.4">
      <c r="B35" s="2" t="s">
        <v>84</v>
      </c>
      <c r="C35" s="2" t="s">
        <v>93</v>
      </c>
      <c r="D35" s="2" t="s">
        <v>94</v>
      </c>
      <c r="E35" s="2">
        <v>1E-4</v>
      </c>
      <c r="F35" s="2">
        <v>4</v>
      </c>
      <c r="G35" s="2">
        <v>0.72599999999999998</v>
      </c>
    </row>
    <row r="36" spans="2:14" ht="19.2" x14ac:dyDescent="0.4">
      <c r="B36" s="2" t="s">
        <v>87</v>
      </c>
      <c r="C36" s="2" t="s">
        <v>93</v>
      </c>
      <c r="D36" s="2" t="s">
        <v>94</v>
      </c>
      <c r="E36" s="2">
        <v>1E-3</v>
      </c>
      <c r="F36" s="2">
        <v>32</v>
      </c>
      <c r="G36" s="2">
        <v>0.72099999999999997</v>
      </c>
    </row>
    <row r="37" spans="2:14" ht="19.2" x14ac:dyDescent="0.4">
      <c r="B37" s="2" t="s">
        <v>88</v>
      </c>
      <c r="C37" s="2" t="s">
        <v>93</v>
      </c>
      <c r="D37" s="2" t="s">
        <v>94</v>
      </c>
      <c r="E37" s="2">
        <v>1E-3</v>
      </c>
      <c r="F37" s="2">
        <v>16</v>
      </c>
      <c r="G37" s="2">
        <v>0.71199999999999997</v>
      </c>
      <c r="I37" s="2"/>
      <c r="J37" s="2"/>
      <c r="K37" s="2"/>
      <c r="L37" s="2"/>
      <c r="M37" s="2"/>
      <c r="N37" s="2"/>
    </row>
    <row r="38" spans="2:14" ht="19.2" x14ac:dyDescent="0.4">
      <c r="B38" s="2" t="s">
        <v>87</v>
      </c>
      <c r="C38" s="2" t="s">
        <v>93</v>
      </c>
      <c r="D38" s="2" t="s">
        <v>94</v>
      </c>
      <c r="E38" s="2">
        <v>0.01</v>
      </c>
      <c r="F38" s="2">
        <v>32</v>
      </c>
      <c r="G38" s="3">
        <v>0.69899999999999995</v>
      </c>
    </row>
    <row r="39" spans="2:14" ht="19.2" x14ac:dyDescent="0.4">
      <c r="B39" s="2" t="s">
        <v>83</v>
      </c>
      <c r="C39" s="2" t="s">
        <v>93</v>
      </c>
      <c r="D39" s="2" t="s">
        <v>94</v>
      </c>
      <c r="E39" s="2">
        <v>0.01</v>
      </c>
      <c r="F39" s="2">
        <v>48</v>
      </c>
      <c r="G39" s="2">
        <v>0.68899999999999995</v>
      </c>
    </row>
    <row r="40" spans="2:14" ht="19.2" x14ac:dyDescent="0.4">
      <c r="B40" s="2" t="s">
        <v>90</v>
      </c>
      <c r="C40" s="2" t="s">
        <v>93</v>
      </c>
      <c r="D40" s="2" t="s">
        <v>94</v>
      </c>
      <c r="E40" s="2">
        <v>1E-3</v>
      </c>
      <c r="F40" s="2">
        <v>64</v>
      </c>
      <c r="G40" s="4">
        <v>0.66900000000000004</v>
      </c>
    </row>
    <row r="41" spans="2:14" ht="19.2" x14ac:dyDescent="0.4">
      <c r="B41" s="2" t="s">
        <v>90</v>
      </c>
      <c r="C41" s="2" t="s">
        <v>93</v>
      </c>
      <c r="D41" s="2" t="s">
        <v>94</v>
      </c>
      <c r="E41" s="2">
        <v>0.01</v>
      </c>
      <c r="F41" s="2">
        <v>64</v>
      </c>
      <c r="G41" s="2">
        <v>0.65500000000000003</v>
      </c>
      <c r="I41" s="2"/>
      <c r="J41" s="2"/>
      <c r="K41" s="2"/>
      <c r="L41" s="2"/>
      <c r="M41" s="2"/>
      <c r="N41" s="2"/>
    </row>
    <row r="42" spans="2:14" ht="19.2" x14ac:dyDescent="0.4">
      <c r="B42" s="2" t="s">
        <v>90</v>
      </c>
      <c r="C42" s="2" t="s">
        <v>93</v>
      </c>
      <c r="D42" s="2" t="s">
        <v>94</v>
      </c>
      <c r="E42" s="2">
        <v>0.01</v>
      </c>
      <c r="F42" s="2">
        <v>64</v>
      </c>
      <c r="G42" s="2">
        <v>0.61799999999999999</v>
      </c>
      <c r="I42" s="2"/>
      <c r="J42" s="2"/>
      <c r="K42" s="2"/>
      <c r="L42" s="2"/>
      <c r="M42" s="2"/>
      <c r="N42" s="2"/>
    </row>
    <row r="43" spans="2:14" ht="19.2" x14ac:dyDescent="0.4">
      <c r="B43" s="2" t="s">
        <v>90</v>
      </c>
      <c r="C43" s="2" t="s">
        <v>93</v>
      </c>
      <c r="D43" s="2" t="s">
        <v>94</v>
      </c>
      <c r="E43" s="2">
        <v>1E-4</v>
      </c>
      <c r="F43" s="2">
        <v>64</v>
      </c>
      <c r="G43" s="2">
        <v>0.59</v>
      </c>
      <c r="I43" s="2"/>
      <c r="J43" s="2"/>
      <c r="K43" s="2"/>
      <c r="L43" s="2"/>
      <c r="M43" s="2"/>
      <c r="N43" s="2"/>
    </row>
    <row r="46" spans="2:14" ht="19.2" x14ac:dyDescent="0.4">
      <c r="K46" s="2"/>
      <c r="L46" s="2"/>
      <c r="M46" s="2"/>
      <c r="N46" s="2"/>
    </row>
    <row r="48" spans="2:14" ht="19.2" x14ac:dyDescent="0.4">
      <c r="K48" s="2"/>
      <c r="L48" s="2"/>
      <c r="M48" s="2"/>
      <c r="N48" s="2"/>
    </row>
    <row r="49" spans="11:14" ht="19.2" x14ac:dyDescent="0.4">
      <c r="K49" s="2"/>
      <c r="L49" s="2"/>
      <c r="M49" s="2"/>
      <c r="N49" s="2"/>
    </row>
    <row r="50" spans="11:14" ht="19.2" x14ac:dyDescent="0.4">
      <c r="K50" s="2"/>
      <c r="L50" s="2"/>
      <c r="M50" s="2"/>
      <c r="N50" s="2"/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FEF3-C48D-4F5F-8C9C-A75E76D3B5E1}">
  <dimension ref="A2:G18"/>
  <sheetViews>
    <sheetView tabSelected="1" workbookViewId="0">
      <selection activeCell="G9" sqref="C4:G9"/>
    </sheetView>
  </sheetViews>
  <sheetFormatPr defaultRowHeight="17.399999999999999" x14ac:dyDescent="0.4"/>
  <cols>
    <col min="1" max="2" width="14.796875" bestFit="1" customWidth="1"/>
    <col min="3" max="3" width="8.19921875" bestFit="1" customWidth="1"/>
    <col min="4" max="4" width="9.296875" bestFit="1" customWidth="1"/>
    <col min="5" max="6" width="6.8984375" bestFit="1" customWidth="1"/>
    <col min="7" max="7" width="11.5" bestFit="1" customWidth="1"/>
  </cols>
  <sheetData>
    <row r="2" spans="1:7" ht="19.2" x14ac:dyDescent="0.4">
      <c r="A2" t="s">
        <v>170</v>
      </c>
      <c r="B2" s="87" t="s">
        <v>164</v>
      </c>
      <c r="C2" s="87" t="s">
        <v>165</v>
      </c>
      <c r="D2" s="87" t="s">
        <v>166</v>
      </c>
      <c r="E2" s="87" t="s">
        <v>167</v>
      </c>
      <c r="F2" s="87" t="s">
        <v>168</v>
      </c>
      <c r="G2" s="87" t="s">
        <v>81</v>
      </c>
    </row>
    <row r="3" spans="1:7" ht="19.2" x14ac:dyDescent="0.4">
      <c r="B3" s="88" t="s">
        <v>169</v>
      </c>
      <c r="C3" s="126">
        <v>28434</v>
      </c>
      <c r="D3" s="126">
        <v>50568</v>
      </c>
      <c r="E3" s="88">
        <v>0.98499999999999999</v>
      </c>
      <c r="F3" s="88">
        <v>0.97499999999999998</v>
      </c>
      <c r="G3" s="88">
        <v>0.90500000000000003</v>
      </c>
    </row>
    <row r="4" spans="1:7" ht="19.2" x14ac:dyDescent="0.4">
      <c r="B4" s="88" t="s">
        <v>107</v>
      </c>
      <c r="C4" s="126">
        <v>28434</v>
      </c>
      <c r="D4" s="126">
        <v>5849</v>
      </c>
      <c r="E4" s="88">
        <v>0.99</v>
      </c>
      <c r="F4" s="88">
        <v>0.997</v>
      </c>
      <c r="G4" s="88">
        <v>0.93</v>
      </c>
    </row>
    <row r="5" spans="1:7" ht="19.2" x14ac:dyDescent="0.4">
      <c r="B5" s="88" t="s">
        <v>109</v>
      </c>
      <c r="C5" s="126">
        <v>28434</v>
      </c>
      <c r="D5" s="126">
        <v>5793</v>
      </c>
      <c r="E5" s="88">
        <v>0.97899999999999998</v>
      </c>
      <c r="F5" s="88">
        <v>0.91100000000000003</v>
      </c>
      <c r="G5" s="88">
        <v>0.85499999999999998</v>
      </c>
    </row>
    <row r="6" spans="1:7" ht="19.2" x14ac:dyDescent="0.4">
      <c r="B6" s="88" t="s">
        <v>110</v>
      </c>
      <c r="C6" s="126">
        <v>28434</v>
      </c>
      <c r="D6" s="126">
        <v>10999</v>
      </c>
      <c r="E6" s="88">
        <v>0.99299999999999999</v>
      </c>
      <c r="F6" s="88">
        <v>0.98899999999999999</v>
      </c>
      <c r="G6" s="88">
        <v>0.96599999999999997</v>
      </c>
    </row>
    <row r="7" spans="1:7" ht="19.2" x14ac:dyDescent="0.4">
      <c r="B7" s="88" t="s">
        <v>111</v>
      </c>
      <c r="C7" s="126">
        <v>28434</v>
      </c>
      <c r="D7" s="126">
        <v>8453</v>
      </c>
      <c r="E7" s="88">
        <v>0.995</v>
      </c>
      <c r="F7" s="88">
        <v>0.99399999999999999</v>
      </c>
      <c r="G7" s="88">
        <v>0.872</v>
      </c>
    </row>
    <row r="8" spans="1:7" ht="19.2" x14ac:dyDescent="0.4">
      <c r="B8" s="88" t="s">
        <v>112</v>
      </c>
      <c r="C8" s="126">
        <v>28434</v>
      </c>
      <c r="D8" s="126">
        <v>17051</v>
      </c>
      <c r="E8" s="88">
        <v>0.96099999999999997</v>
      </c>
      <c r="F8" s="88">
        <v>0.96199999999999997</v>
      </c>
      <c r="G8" s="88">
        <v>0.83099999999999996</v>
      </c>
    </row>
    <row r="9" spans="1:7" ht="19.2" x14ac:dyDescent="0.4">
      <c r="B9" s="88" t="s">
        <v>108</v>
      </c>
      <c r="C9" s="126">
        <v>28434</v>
      </c>
      <c r="D9" s="126">
        <v>2423</v>
      </c>
      <c r="E9" s="88">
        <v>0.995</v>
      </c>
      <c r="F9" s="88">
        <v>0.998</v>
      </c>
      <c r="G9" s="88">
        <v>0.97599999999999998</v>
      </c>
    </row>
    <row r="11" spans="1:7" ht="19.2" x14ac:dyDescent="0.4">
      <c r="A11" t="s">
        <v>171</v>
      </c>
      <c r="B11" s="87" t="s">
        <v>164</v>
      </c>
      <c r="C11" s="87" t="s">
        <v>165</v>
      </c>
      <c r="D11" s="87" t="s">
        <v>166</v>
      </c>
      <c r="E11" s="87" t="s">
        <v>167</v>
      </c>
      <c r="F11" s="87" t="s">
        <v>168</v>
      </c>
      <c r="G11" s="87" t="s">
        <v>81</v>
      </c>
    </row>
    <row r="12" spans="1:7" ht="19.2" x14ac:dyDescent="0.4">
      <c r="B12" s="88" t="s">
        <v>169</v>
      </c>
      <c r="C12" s="88">
        <v>28434</v>
      </c>
      <c r="D12" s="88">
        <v>50568</v>
      </c>
      <c r="E12" s="88">
        <v>0.98499999999999999</v>
      </c>
      <c r="F12" s="88">
        <v>0.97499999999999998</v>
      </c>
      <c r="G12" s="88">
        <v>0.90500000000000003</v>
      </c>
    </row>
    <row r="13" spans="1:7" ht="19.2" x14ac:dyDescent="0.4">
      <c r="B13" s="88" t="s">
        <v>107</v>
      </c>
      <c r="C13" s="88">
        <v>28434</v>
      </c>
      <c r="D13" s="88">
        <v>5849</v>
      </c>
      <c r="E13" s="88">
        <v>0.99</v>
      </c>
      <c r="F13" s="88">
        <v>0.997</v>
      </c>
      <c r="G13" s="88">
        <v>0.93</v>
      </c>
    </row>
    <row r="14" spans="1:7" ht="19.2" x14ac:dyDescent="0.4">
      <c r="B14" s="88" t="s">
        <v>109</v>
      </c>
      <c r="C14" s="88">
        <v>28434</v>
      </c>
      <c r="D14" s="88">
        <v>5793</v>
      </c>
      <c r="E14" s="88">
        <v>0.97899999999999998</v>
      </c>
      <c r="F14" s="88">
        <v>0.91100000000000003</v>
      </c>
      <c r="G14" s="88">
        <v>0.85499999999999998</v>
      </c>
    </row>
    <row r="15" spans="1:7" ht="19.2" x14ac:dyDescent="0.4">
      <c r="B15" s="88" t="s">
        <v>110</v>
      </c>
      <c r="C15" s="88">
        <v>28434</v>
      </c>
      <c r="D15" s="88">
        <v>10999</v>
      </c>
      <c r="E15" s="88">
        <v>0.99299999999999999</v>
      </c>
      <c r="F15" s="88">
        <v>0.98899999999999999</v>
      </c>
      <c r="G15" s="88">
        <v>0.96599999999999997</v>
      </c>
    </row>
    <row r="16" spans="1:7" ht="19.2" x14ac:dyDescent="0.4">
      <c r="B16" s="88" t="s">
        <v>111</v>
      </c>
      <c r="C16" s="88">
        <v>28434</v>
      </c>
      <c r="D16" s="88">
        <v>8453</v>
      </c>
      <c r="E16" s="88">
        <v>0.995</v>
      </c>
      <c r="F16" s="88">
        <v>0.99399999999999999</v>
      </c>
      <c r="G16" s="88">
        <v>0.872</v>
      </c>
    </row>
    <row r="17" spans="2:7" ht="19.2" x14ac:dyDescent="0.4">
      <c r="B17" s="88" t="s">
        <v>112</v>
      </c>
      <c r="C17" s="88">
        <v>28434</v>
      </c>
      <c r="D17" s="88">
        <v>17051</v>
      </c>
      <c r="E17" s="88">
        <v>0.96099999999999997</v>
      </c>
      <c r="F17" s="88">
        <v>0.96199999999999997</v>
      </c>
      <c r="G17" s="88">
        <v>0.83099999999999996</v>
      </c>
    </row>
    <row r="18" spans="2:7" ht="19.2" x14ac:dyDescent="0.4">
      <c r="B18" s="88" t="s">
        <v>108</v>
      </c>
      <c r="C18" s="88">
        <v>28434</v>
      </c>
      <c r="D18" s="88">
        <v>2423</v>
      </c>
      <c r="E18" s="88">
        <v>0.995</v>
      </c>
      <c r="F18" s="88">
        <v>0.998</v>
      </c>
      <c r="G18" s="88">
        <v>0.97599999999999998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5135-8940-4071-94F6-F413D684DA18}">
  <dimension ref="A1:R15"/>
  <sheetViews>
    <sheetView workbookViewId="0">
      <selection activeCell="H17" sqref="H17"/>
    </sheetView>
  </sheetViews>
  <sheetFormatPr defaultColWidth="8.69921875" defaultRowHeight="17.399999999999999" x14ac:dyDescent="0.4"/>
  <cols>
    <col min="1" max="1" width="7.59765625" style="7" customWidth="1"/>
    <col min="2" max="2" width="11" style="7" customWidth="1"/>
    <col min="3" max="3" width="3.59765625" style="7" customWidth="1"/>
    <col min="4" max="4" width="8.69921875" style="7"/>
    <col min="5" max="5" width="11.09765625" style="7" bestFit="1" customWidth="1"/>
    <col min="6" max="10" width="8.69921875" style="7"/>
    <col min="11" max="11" width="11.19921875" style="7" customWidth="1"/>
    <col min="12" max="12" width="3.59765625" style="7" customWidth="1"/>
    <col min="13" max="13" width="8.69921875" style="7"/>
    <col min="14" max="14" width="14.19921875" style="7" customWidth="1"/>
    <col min="15" max="15" width="8" style="7" customWidth="1"/>
    <col min="16" max="16384" width="8.69921875" style="7"/>
  </cols>
  <sheetData>
    <row r="1" spans="1:18" ht="14.25" customHeight="1" x14ac:dyDescent="0.4">
      <c r="B1" s="7">
        <v>230220</v>
      </c>
      <c r="C1" s="89"/>
      <c r="K1" s="7">
        <v>230303</v>
      </c>
      <c r="L1" s="89"/>
    </row>
    <row r="2" spans="1:18" ht="15.75" customHeight="1" x14ac:dyDescent="0.4">
      <c r="A2" s="89"/>
      <c r="B2" s="89"/>
      <c r="C2" s="89"/>
      <c r="D2" s="89"/>
      <c r="E2" s="89"/>
      <c r="F2" s="89"/>
      <c r="G2" s="89"/>
      <c r="H2" s="89"/>
      <c r="I2"/>
      <c r="J2" s="89"/>
      <c r="K2" s="89"/>
      <c r="L2" s="89"/>
      <c r="M2" s="89"/>
      <c r="N2" s="89"/>
      <c r="O2" s="89"/>
      <c r="P2" s="89"/>
      <c r="Q2" s="89"/>
      <c r="R2"/>
    </row>
    <row r="3" spans="1:18" ht="17.399999999999999" customHeight="1" x14ac:dyDescent="0.4">
      <c r="A3" s="90"/>
      <c r="B3" s="91" t="s">
        <v>105</v>
      </c>
      <c r="C3" s="89"/>
      <c r="D3" s="94" t="s">
        <v>106</v>
      </c>
      <c r="E3" s="17" t="s">
        <v>107</v>
      </c>
      <c r="F3" s="11">
        <v>1659</v>
      </c>
      <c r="G3" s="101">
        <f>SUM(F3:F7)</f>
        <v>7308</v>
      </c>
      <c r="H3" s="89"/>
      <c r="I3"/>
      <c r="J3" s="90"/>
      <c r="K3" s="91" t="s">
        <v>105</v>
      </c>
      <c r="L3" s="89"/>
      <c r="M3" s="94" t="s">
        <v>106</v>
      </c>
      <c r="N3" s="17" t="s">
        <v>108</v>
      </c>
      <c r="O3" s="11">
        <v>2236</v>
      </c>
      <c r="P3" s="97">
        <f>SUM(O3:O8)</f>
        <v>28434</v>
      </c>
      <c r="Q3" s="89"/>
      <c r="R3"/>
    </row>
    <row r="4" spans="1:18" ht="17.399999999999999" customHeight="1" x14ac:dyDescent="0.4">
      <c r="A4" s="90"/>
      <c r="B4" s="92"/>
      <c r="C4" s="89"/>
      <c r="D4" s="95"/>
      <c r="E4" s="8" t="s">
        <v>109</v>
      </c>
      <c r="F4" s="9">
        <v>1598</v>
      </c>
      <c r="G4" s="102"/>
      <c r="H4" s="89"/>
      <c r="I4"/>
      <c r="J4" s="90"/>
      <c r="K4" s="92"/>
      <c r="L4" s="89"/>
      <c r="M4" s="95"/>
      <c r="N4" s="8" t="s">
        <v>107</v>
      </c>
      <c r="O4" s="9">
        <v>4696</v>
      </c>
      <c r="P4" s="98"/>
      <c r="Q4" s="89"/>
      <c r="R4"/>
    </row>
    <row r="5" spans="1:18" ht="17.399999999999999" customHeight="1" x14ac:dyDescent="0.4">
      <c r="A5" s="90"/>
      <c r="B5" s="92"/>
      <c r="C5" s="89"/>
      <c r="D5" s="95"/>
      <c r="E5" s="8" t="s">
        <v>110</v>
      </c>
      <c r="F5" s="16">
        <v>1599</v>
      </c>
      <c r="G5" s="102"/>
      <c r="H5" s="89"/>
      <c r="I5"/>
      <c r="J5" s="90"/>
      <c r="K5" s="92"/>
      <c r="L5" s="89"/>
      <c r="M5" s="95"/>
      <c r="N5" s="8" t="s">
        <v>109</v>
      </c>
      <c r="O5" s="9">
        <v>3524</v>
      </c>
      <c r="P5" s="98"/>
      <c r="Q5" s="89"/>
      <c r="R5"/>
    </row>
    <row r="6" spans="1:18" ht="17.399999999999999" customHeight="1" x14ac:dyDescent="0.4">
      <c r="A6" s="90"/>
      <c r="B6" s="92"/>
      <c r="C6" s="89"/>
      <c r="D6" s="95"/>
      <c r="E6" s="8" t="s">
        <v>111</v>
      </c>
      <c r="F6" s="16">
        <v>1840</v>
      </c>
      <c r="G6" s="102"/>
      <c r="H6" s="89"/>
      <c r="I6" s="18"/>
      <c r="J6" s="90"/>
      <c r="K6" s="92"/>
      <c r="L6" s="89"/>
      <c r="M6" s="95"/>
      <c r="N6" s="8" t="s">
        <v>110</v>
      </c>
      <c r="O6" s="9">
        <v>7995</v>
      </c>
      <c r="P6" s="98"/>
      <c r="Q6" s="89"/>
      <c r="R6" s="18"/>
    </row>
    <row r="7" spans="1:18" ht="18" customHeight="1" x14ac:dyDescent="0.4">
      <c r="A7" s="90"/>
      <c r="B7" s="92"/>
      <c r="C7" s="89"/>
      <c r="D7" s="96"/>
      <c r="E7" s="12" t="s">
        <v>112</v>
      </c>
      <c r="F7" s="15">
        <v>612</v>
      </c>
      <c r="G7" s="103"/>
      <c r="H7" s="89"/>
      <c r="I7"/>
      <c r="J7" s="90"/>
      <c r="K7" s="92"/>
      <c r="L7" s="89"/>
      <c r="M7" s="95"/>
      <c r="N7" s="8" t="s">
        <v>111</v>
      </c>
      <c r="O7" s="9">
        <v>7327</v>
      </c>
      <c r="P7" s="98"/>
      <c r="Q7" s="89"/>
      <c r="R7"/>
    </row>
    <row r="8" spans="1:18" ht="18" customHeight="1" x14ac:dyDescent="0.4">
      <c r="A8" s="90"/>
      <c r="B8" s="92"/>
      <c r="C8" s="89"/>
      <c r="D8" s="89"/>
      <c r="E8" s="89"/>
      <c r="F8" s="89"/>
      <c r="G8" s="89"/>
      <c r="H8" s="89"/>
      <c r="I8" s="89"/>
      <c r="J8" s="90"/>
      <c r="K8" s="92"/>
      <c r="L8" s="89"/>
      <c r="M8" s="96"/>
      <c r="N8" s="12" t="s">
        <v>112</v>
      </c>
      <c r="O8" s="45">
        <v>2656</v>
      </c>
      <c r="P8" s="99"/>
      <c r="Q8" s="89"/>
    </row>
    <row r="9" spans="1:18" ht="17.399999999999999" customHeight="1" x14ac:dyDescent="0.4">
      <c r="A9" s="90"/>
      <c r="B9" s="92"/>
      <c r="C9" s="89"/>
      <c r="D9" s="94" t="s">
        <v>113</v>
      </c>
      <c r="E9" s="17" t="s">
        <v>107</v>
      </c>
      <c r="F9" s="13">
        <v>415</v>
      </c>
      <c r="G9" s="101">
        <v>1829</v>
      </c>
      <c r="H9" s="100"/>
      <c r="I9"/>
      <c r="J9" s="90"/>
      <c r="K9" s="92"/>
      <c r="L9" s="89"/>
      <c r="M9" s="89"/>
      <c r="N9" s="89"/>
      <c r="O9" s="89"/>
      <c r="P9" s="89"/>
      <c r="Q9" s="89"/>
      <c r="R9"/>
    </row>
    <row r="10" spans="1:18" ht="17.399999999999999" customHeight="1" x14ac:dyDescent="0.4">
      <c r="A10" s="90"/>
      <c r="B10" s="92"/>
      <c r="C10" s="89"/>
      <c r="D10" s="95"/>
      <c r="E10" s="8" t="s">
        <v>109</v>
      </c>
      <c r="F10" s="10">
        <v>400</v>
      </c>
      <c r="G10" s="102"/>
      <c r="H10" s="100"/>
      <c r="I10"/>
      <c r="J10" s="90"/>
      <c r="K10" s="92"/>
      <c r="L10" s="89"/>
      <c r="M10" s="94" t="s">
        <v>113</v>
      </c>
      <c r="N10" s="17" t="s">
        <v>108</v>
      </c>
      <c r="O10" s="46">
        <v>559</v>
      </c>
      <c r="P10" s="97">
        <f>SUM(O10:O15)</f>
        <v>7110</v>
      </c>
      <c r="Q10" s="89"/>
      <c r="R10"/>
    </row>
    <row r="11" spans="1:18" ht="17.399999999999999" customHeight="1" x14ac:dyDescent="0.4">
      <c r="A11" s="90"/>
      <c r="B11" s="92"/>
      <c r="C11" s="89"/>
      <c r="D11" s="95"/>
      <c r="E11" s="8" t="s">
        <v>110</v>
      </c>
      <c r="F11" s="14">
        <v>400</v>
      </c>
      <c r="G11" s="102"/>
      <c r="H11" s="100"/>
      <c r="I11"/>
      <c r="J11" s="90"/>
      <c r="K11" s="92"/>
      <c r="L11" s="89"/>
      <c r="M11" s="95"/>
      <c r="N11" s="8" t="s">
        <v>107</v>
      </c>
      <c r="O11" s="47">
        <v>1175</v>
      </c>
      <c r="P11" s="98"/>
      <c r="Q11" s="89"/>
      <c r="R11"/>
    </row>
    <row r="12" spans="1:18" ht="17.399999999999999" customHeight="1" x14ac:dyDescent="0.4">
      <c r="A12" s="90"/>
      <c r="B12" s="92"/>
      <c r="C12" s="89"/>
      <c r="D12" s="95"/>
      <c r="E12" s="8" t="s">
        <v>111</v>
      </c>
      <c r="F12" s="14">
        <v>461</v>
      </c>
      <c r="G12" s="102"/>
      <c r="H12" s="100"/>
      <c r="J12" s="90"/>
      <c r="K12" s="92"/>
      <c r="L12" s="89"/>
      <c r="M12" s="95"/>
      <c r="N12" s="8" t="s">
        <v>109</v>
      </c>
      <c r="O12" s="48">
        <v>881</v>
      </c>
      <c r="P12" s="98"/>
      <c r="Q12" s="89"/>
    </row>
    <row r="13" spans="1:18" ht="18" customHeight="1" x14ac:dyDescent="0.4">
      <c r="A13" s="90"/>
      <c r="B13" s="93"/>
      <c r="C13" s="89"/>
      <c r="D13" s="96"/>
      <c r="E13" s="12" t="s">
        <v>112</v>
      </c>
      <c r="F13" s="15">
        <v>153</v>
      </c>
      <c r="G13" s="103"/>
      <c r="H13" s="100"/>
      <c r="J13" s="90"/>
      <c r="K13" s="92"/>
      <c r="L13" s="89"/>
      <c r="M13" s="95"/>
      <c r="N13" s="8" t="s">
        <v>110</v>
      </c>
      <c r="O13" s="47">
        <v>1999</v>
      </c>
      <c r="P13" s="98"/>
      <c r="Q13" s="89"/>
    </row>
    <row r="14" spans="1:18" x14ac:dyDescent="0.4">
      <c r="A14" s="89"/>
      <c r="B14" s="89"/>
      <c r="C14" s="89"/>
      <c r="D14" s="89"/>
      <c r="E14" s="89"/>
      <c r="F14" s="89"/>
      <c r="G14" s="89"/>
      <c r="H14" s="89"/>
      <c r="J14" s="44"/>
      <c r="K14" s="92"/>
      <c r="L14" s="89"/>
      <c r="M14" s="95"/>
      <c r="N14" s="8" t="s">
        <v>111</v>
      </c>
      <c r="O14" s="47">
        <v>1832</v>
      </c>
      <c r="P14" s="98"/>
      <c r="Q14" s="89"/>
    </row>
    <row r="15" spans="1:18" x14ac:dyDescent="0.4">
      <c r="C15" s="89"/>
      <c r="K15" s="93"/>
      <c r="L15" s="89"/>
      <c r="M15" s="96"/>
      <c r="N15" s="12" t="s">
        <v>112</v>
      </c>
      <c r="O15" s="49">
        <v>664</v>
      </c>
      <c r="P15" s="99"/>
      <c r="Q15" s="89"/>
    </row>
  </sheetData>
  <mergeCells count="26">
    <mergeCell ref="A3:A13"/>
    <mergeCell ref="D8:I8"/>
    <mergeCell ref="H3:H7"/>
    <mergeCell ref="H9:H13"/>
    <mergeCell ref="C1:C15"/>
    <mergeCell ref="D14:H14"/>
    <mergeCell ref="A14:B14"/>
    <mergeCell ref="A2:B2"/>
    <mergeCell ref="D2:H2"/>
    <mergeCell ref="G3:G7"/>
    <mergeCell ref="D9:D13"/>
    <mergeCell ref="G9:G13"/>
    <mergeCell ref="D3:D7"/>
    <mergeCell ref="B3:B13"/>
    <mergeCell ref="L1:L15"/>
    <mergeCell ref="J2:K2"/>
    <mergeCell ref="M2:Q2"/>
    <mergeCell ref="J3:J13"/>
    <mergeCell ref="K3:K15"/>
    <mergeCell ref="M3:M8"/>
    <mergeCell ref="M10:M15"/>
    <mergeCell ref="P3:P8"/>
    <mergeCell ref="M9:Q9"/>
    <mergeCell ref="Q3:Q8"/>
    <mergeCell ref="Q10:Q15"/>
    <mergeCell ref="P10:P15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13E2-6B31-4D71-8D77-834186E80F1B}">
  <dimension ref="A1:L21"/>
  <sheetViews>
    <sheetView workbookViewId="0">
      <selection activeCell="F15" sqref="F15:F19"/>
    </sheetView>
  </sheetViews>
  <sheetFormatPr defaultRowHeight="16.5" customHeight="1" x14ac:dyDescent="0.4"/>
  <cols>
    <col min="4" max="4" width="16.59765625" bestFit="1" customWidth="1"/>
    <col min="5" max="5" width="6.3984375" customWidth="1"/>
    <col min="6" max="6" width="8.19921875" bestFit="1" customWidth="1"/>
    <col min="8" max="8" width="10.5" customWidth="1"/>
    <col min="9" max="9" width="11.59765625" bestFit="1" customWidth="1"/>
  </cols>
  <sheetData>
    <row r="1" spans="1:12" ht="17.399999999999999" x14ac:dyDescent="0.4">
      <c r="B1" s="7"/>
      <c r="D1" s="7"/>
      <c r="E1" s="7"/>
      <c r="F1" s="7"/>
      <c r="G1" s="7"/>
      <c r="K1">
        <v>230303</v>
      </c>
      <c r="L1" s="7"/>
    </row>
    <row r="2" spans="1:12" ht="17.399999999999999" customHeight="1" x14ac:dyDescent="0.4">
      <c r="B2" s="7"/>
      <c r="D2" s="7"/>
      <c r="E2" s="7"/>
      <c r="F2" s="7"/>
      <c r="G2" s="7"/>
    </row>
    <row r="3" spans="1:12" ht="17.399999999999999" x14ac:dyDescent="0.4">
      <c r="A3" s="7"/>
      <c r="C3" s="7"/>
      <c r="D3" s="7"/>
      <c r="E3" s="7"/>
      <c r="F3" s="7"/>
      <c r="G3" s="7"/>
    </row>
    <row r="4" spans="1:12" ht="17.399999999999999" x14ac:dyDescent="0.4">
      <c r="A4" s="7"/>
      <c r="B4" s="104" t="s">
        <v>114</v>
      </c>
      <c r="C4" s="52" t="s">
        <v>115</v>
      </c>
      <c r="D4" s="107" t="s">
        <v>116</v>
      </c>
      <c r="E4" s="107"/>
      <c r="F4" s="53" t="s">
        <v>117</v>
      </c>
      <c r="G4" s="7"/>
      <c r="H4" s="113" t="s">
        <v>118</v>
      </c>
      <c r="I4" s="66" t="s">
        <v>6</v>
      </c>
      <c r="J4" s="116" t="s">
        <v>14</v>
      </c>
      <c r="K4" s="116"/>
      <c r="L4" s="117"/>
    </row>
    <row r="5" spans="1:12" ht="17.399999999999999" customHeight="1" x14ac:dyDescent="0.4">
      <c r="B5" s="105"/>
      <c r="C5" s="108" t="s">
        <v>119</v>
      </c>
      <c r="D5" s="56" t="s">
        <v>120</v>
      </c>
      <c r="E5" s="50" t="s">
        <v>121</v>
      </c>
      <c r="F5" s="54">
        <v>0.33</v>
      </c>
      <c r="G5" s="44"/>
      <c r="H5" s="114"/>
      <c r="I5" s="55" t="s">
        <v>5</v>
      </c>
      <c r="J5" s="118" t="s">
        <v>122</v>
      </c>
      <c r="K5" s="118"/>
      <c r="L5" s="119"/>
    </row>
    <row r="6" spans="1:12" ht="17.399999999999999" x14ac:dyDescent="0.4">
      <c r="B6" s="105"/>
      <c r="C6" s="108"/>
      <c r="D6" s="56" t="s">
        <v>123</v>
      </c>
      <c r="E6" s="50" t="s">
        <v>124</v>
      </c>
      <c r="F6" s="54">
        <v>0.5</v>
      </c>
      <c r="G6" s="44"/>
      <c r="H6" s="114"/>
      <c r="I6" s="55" t="s">
        <v>125</v>
      </c>
      <c r="J6" s="63">
        <v>1E-3</v>
      </c>
      <c r="K6" s="62">
        <v>5.0000000000000001E-4</v>
      </c>
      <c r="L6" s="60">
        <v>1E-4</v>
      </c>
    </row>
    <row r="7" spans="1:12" ht="17.399999999999999" x14ac:dyDescent="0.4">
      <c r="B7" s="105"/>
      <c r="C7" s="109" t="s">
        <v>126</v>
      </c>
      <c r="D7" s="57" t="s">
        <v>127</v>
      </c>
      <c r="E7" s="50" t="s">
        <v>128</v>
      </c>
      <c r="F7" s="111">
        <v>1</v>
      </c>
      <c r="G7" s="44"/>
      <c r="H7" s="115"/>
      <c r="I7" s="67" t="s">
        <v>129</v>
      </c>
      <c r="J7" s="64">
        <v>100</v>
      </c>
      <c r="K7" s="64">
        <v>200</v>
      </c>
      <c r="L7" s="65">
        <v>300</v>
      </c>
    </row>
    <row r="8" spans="1:12" ht="17.399999999999999" x14ac:dyDescent="0.4">
      <c r="B8" s="105"/>
      <c r="C8" s="109"/>
      <c r="D8" s="57" t="s">
        <v>130</v>
      </c>
      <c r="E8" s="50" t="s">
        <v>131</v>
      </c>
      <c r="F8" s="111"/>
      <c r="G8" s="44"/>
      <c r="H8" s="7"/>
    </row>
    <row r="9" spans="1:12" ht="17.399999999999999" x14ac:dyDescent="0.4">
      <c r="B9" s="105"/>
      <c r="C9" s="109"/>
      <c r="D9" s="57" t="s">
        <v>132</v>
      </c>
      <c r="E9" s="50" t="s">
        <v>133</v>
      </c>
      <c r="F9" s="111"/>
      <c r="G9" s="44"/>
      <c r="H9" s="7"/>
    </row>
    <row r="10" spans="1:12" ht="17.399999999999999" customHeight="1" x14ac:dyDescent="0.4">
      <c r="B10" s="105"/>
      <c r="C10" s="109"/>
      <c r="D10" s="57" t="s">
        <v>134</v>
      </c>
      <c r="E10" s="50" t="s">
        <v>135</v>
      </c>
      <c r="F10" s="111"/>
      <c r="G10" s="44"/>
      <c r="H10" s="7"/>
    </row>
    <row r="11" spans="1:12" ht="17.399999999999999" x14ac:dyDescent="0.4">
      <c r="B11" s="106"/>
      <c r="C11" s="110"/>
      <c r="D11" s="58" t="s">
        <v>136</v>
      </c>
      <c r="E11" s="51" t="s">
        <v>137</v>
      </c>
      <c r="F11" s="112"/>
      <c r="G11" s="44"/>
      <c r="H11" s="7"/>
    </row>
    <row r="12" spans="1:12" ht="17.399999999999999" x14ac:dyDescent="0.4">
      <c r="F12" s="7"/>
      <c r="G12" s="7"/>
      <c r="H12" s="7"/>
      <c r="K12">
        <v>230220</v>
      </c>
    </row>
    <row r="13" spans="1:12" ht="17.399999999999999" x14ac:dyDescent="0.4">
      <c r="A13" s="7"/>
      <c r="B13" s="7"/>
      <c r="C13" s="7"/>
      <c r="D13" s="7"/>
      <c r="E13" s="7"/>
      <c r="F13" s="7"/>
      <c r="G13" s="7"/>
      <c r="H13" s="7"/>
    </row>
    <row r="14" spans="1:12" ht="17.399999999999999" customHeight="1" x14ac:dyDescent="0.4">
      <c r="A14" s="7"/>
      <c r="B14" s="104" t="s">
        <v>114</v>
      </c>
      <c r="C14" s="52" t="s">
        <v>115</v>
      </c>
      <c r="D14" s="107" t="s">
        <v>116</v>
      </c>
      <c r="E14" s="107"/>
      <c r="F14" s="53" t="s">
        <v>117</v>
      </c>
      <c r="G14" s="7"/>
      <c r="H14" s="113" t="s">
        <v>118</v>
      </c>
      <c r="I14" s="66" t="s">
        <v>6</v>
      </c>
      <c r="J14" s="116" t="s">
        <v>14</v>
      </c>
      <c r="K14" s="116"/>
      <c r="L14" s="117"/>
    </row>
    <row r="15" spans="1:12" ht="17.399999999999999" x14ac:dyDescent="0.4">
      <c r="B15" s="105"/>
      <c r="C15" s="109" t="s">
        <v>126</v>
      </c>
      <c r="D15" s="57" t="s">
        <v>127</v>
      </c>
      <c r="E15" s="59" t="s">
        <v>128</v>
      </c>
      <c r="F15" s="111">
        <v>1</v>
      </c>
      <c r="H15" s="114"/>
      <c r="I15" s="55" t="s">
        <v>5</v>
      </c>
      <c r="J15" s="118" t="s">
        <v>122</v>
      </c>
      <c r="K15" s="118"/>
      <c r="L15" s="119"/>
    </row>
    <row r="16" spans="1:12" ht="17.399999999999999" x14ac:dyDescent="0.4">
      <c r="B16" s="105"/>
      <c r="C16" s="109"/>
      <c r="D16" s="57" t="s">
        <v>130</v>
      </c>
      <c r="E16" s="59" t="s">
        <v>131</v>
      </c>
      <c r="F16" s="111"/>
      <c r="H16" s="114"/>
      <c r="I16" s="55" t="s">
        <v>125</v>
      </c>
      <c r="J16" s="62">
        <v>0.01</v>
      </c>
      <c r="K16" s="63">
        <v>1E-3</v>
      </c>
      <c r="L16" s="60">
        <v>1E-4</v>
      </c>
    </row>
    <row r="17" spans="2:12" ht="17.399999999999999" x14ac:dyDescent="0.4">
      <c r="B17" s="105"/>
      <c r="C17" s="109"/>
      <c r="D17" s="57" t="s">
        <v>132</v>
      </c>
      <c r="E17" s="59" t="s">
        <v>133</v>
      </c>
      <c r="F17" s="111"/>
      <c r="H17" s="115"/>
      <c r="I17" s="67" t="s">
        <v>129</v>
      </c>
      <c r="J17" s="68">
        <v>100</v>
      </c>
      <c r="K17" s="64">
        <v>200</v>
      </c>
      <c r="L17" s="69">
        <v>300</v>
      </c>
    </row>
    <row r="18" spans="2:12" ht="17.399999999999999" x14ac:dyDescent="0.4">
      <c r="B18" s="105"/>
      <c r="C18" s="109"/>
      <c r="D18" s="57" t="s">
        <v>134</v>
      </c>
      <c r="E18" s="59" t="s">
        <v>135</v>
      </c>
      <c r="F18" s="111"/>
    </row>
    <row r="19" spans="2:12" ht="17.399999999999999" customHeight="1" x14ac:dyDescent="0.4">
      <c r="B19" s="106"/>
      <c r="C19" s="110"/>
      <c r="D19" s="58" t="s">
        <v>136</v>
      </c>
      <c r="E19" s="61" t="s">
        <v>137</v>
      </c>
      <c r="F19" s="112"/>
    </row>
    <row r="20" spans="2:12" ht="17.399999999999999" customHeight="1" x14ac:dyDescent="0.4"/>
    <row r="21" spans="2:12" ht="17.399999999999999" x14ac:dyDescent="0.4"/>
  </sheetData>
  <mergeCells count="15">
    <mergeCell ref="J4:L4"/>
    <mergeCell ref="H4:H7"/>
    <mergeCell ref="J5:L5"/>
    <mergeCell ref="F7:F11"/>
    <mergeCell ref="F15:F19"/>
    <mergeCell ref="H14:H17"/>
    <mergeCell ref="J14:L14"/>
    <mergeCell ref="J15:L15"/>
    <mergeCell ref="B4:B11"/>
    <mergeCell ref="D4:E4"/>
    <mergeCell ref="D14:E14"/>
    <mergeCell ref="B14:B19"/>
    <mergeCell ref="C5:C6"/>
    <mergeCell ref="C7:C11"/>
    <mergeCell ref="C15:C19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94BD-7E13-4FA0-9D34-D78731F52A97}">
  <dimension ref="B1:J28"/>
  <sheetViews>
    <sheetView workbookViewId="0">
      <selection activeCell="M13" sqref="M13"/>
    </sheetView>
  </sheetViews>
  <sheetFormatPr defaultRowHeight="17.399999999999999" x14ac:dyDescent="0.4"/>
  <cols>
    <col min="2" max="2" width="9.69921875" customWidth="1"/>
    <col min="3" max="3" width="9" customWidth="1"/>
    <col min="4" max="4" width="9.19921875" customWidth="1"/>
    <col min="5" max="5" width="29" bestFit="1" customWidth="1"/>
    <col min="7" max="7" width="6.3984375" bestFit="1" customWidth="1"/>
    <col min="8" max="8" width="10.09765625" bestFit="1" customWidth="1"/>
    <col min="9" max="9" width="10.3984375" bestFit="1" customWidth="1"/>
    <col min="10" max="10" width="19.19921875" bestFit="1" customWidth="1"/>
  </cols>
  <sheetData>
    <row r="1" spans="2:10" x14ac:dyDescent="0.4">
      <c r="E1">
        <v>230220</v>
      </c>
      <c r="J1">
        <v>230220</v>
      </c>
    </row>
    <row r="3" spans="2:10" x14ac:dyDescent="0.4">
      <c r="B3" s="20" t="s">
        <v>138</v>
      </c>
      <c r="C3" s="19" t="s">
        <v>139</v>
      </c>
      <c r="D3" s="19" t="s">
        <v>140</v>
      </c>
      <c r="E3" s="23" t="s">
        <v>141</v>
      </c>
      <c r="G3" s="20" t="s">
        <v>142</v>
      </c>
      <c r="H3" s="19" t="s">
        <v>143</v>
      </c>
      <c r="I3" s="19" t="s">
        <v>144</v>
      </c>
      <c r="J3" s="23" t="s">
        <v>140</v>
      </c>
    </row>
    <row r="4" spans="2:10" x14ac:dyDescent="0.4">
      <c r="B4" s="24" t="s">
        <v>145</v>
      </c>
      <c r="C4" s="22" t="s">
        <v>146</v>
      </c>
      <c r="D4" s="22" t="s">
        <v>147</v>
      </c>
      <c r="E4" s="25" t="s">
        <v>148</v>
      </c>
      <c r="G4" s="24">
        <v>7</v>
      </c>
      <c r="H4" s="22" t="s">
        <v>145</v>
      </c>
      <c r="I4" s="22" t="s">
        <v>146</v>
      </c>
      <c r="J4" s="25" t="s">
        <v>147</v>
      </c>
    </row>
    <row r="5" spans="2:10" x14ac:dyDescent="0.4">
      <c r="B5" s="24" t="s">
        <v>145</v>
      </c>
      <c r="C5" s="22" t="s">
        <v>149</v>
      </c>
      <c r="D5" s="22" t="s">
        <v>150</v>
      </c>
      <c r="E5" s="25" t="s">
        <v>151</v>
      </c>
      <c r="G5" s="24">
        <v>54</v>
      </c>
      <c r="H5" s="22" t="s">
        <v>145</v>
      </c>
      <c r="I5" s="22" t="s">
        <v>152</v>
      </c>
      <c r="J5" s="25" t="s">
        <v>153</v>
      </c>
    </row>
    <row r="6" spans="2:10" x14ac:dyDescent="0.4">
      <c r="B6" s="24" t="s">
        <v>154</v>
      </c>
      <c r="C6" s="22" t="s">
        <v>149</v>
      </c>
      <c r="D6" s="22" t="s">
        <v>150</v>
      </c>
      <c r="E6" s="25" t="s">
        <v>151</v>
      </c>
      <c r="G6" s="24">
        <v>56</v>
      </c>
      <c r="H6" s="22" t="s">
        <v>145</v>
      </c>
      <c r="I6" s="22" t="s">
        <v>146</v>
      </c>
      <c r="J6" s="25" t="s">
        <v>147</v>
      </c>
    </row>
    <row r="7" spans="2:10" x14ac:dyDescent="0.4">
      <c r="B7" s="120" t="s">
        <v>152</v>
      </c>
      <c r="C7" s="122" t="s">
        <v>146</v>
      </c>
      <c r="D7" s="122" t="s">
        <v>155</v>
      </c>
      <c r="E7" s="124" t="s">
        <v>156</v>
      </c>
      <c r="G7" s="28">
        <v>65</v>
      </c>
      <c r="H7" s="22" t="s">
        <v>145</v>
      </c>
      <c r="I7" s="22" t="s">
        <v>146</v>
      </c>
      <c r="J7" s="25" t="s">
        <v>147</v>
      </c>
    </row>
    <row r="8" spans="2:10" x14ac:dyDescent="0.4">
      <c r="B8" s="121"/>
      <c r="C8" s="123"/>
      <c r="D8" s="123"/>
      <c r="E8" s="125"/>
      <c r="G8" s="24">
        <v>163</v>
      </c>
      <c r="H8" s="22" t="s">
        <v>145</v>
      </c>
      <c r="I8" s="22" t="s">
        <v>146</v>
      </c>
      <c r="J8" s="25" t="s">
        <v>157</v>
      </c>
    </row>
    <row r="9" spans="2:10" x14ac:dyDescent="0.4">
      <c r="G9" s="24">
        <v>219</v>
      </c>
      <c r="H9" s="22" t="s">
        <v>145</v>
      </c>
      <c r="I9" s="22" t="s">
        <v>146</v>
      </c>
      <c r="J9" s="25" t="s">
        <v>157</v>
      </c>
    </row>
    <row r="10" spans="2:10" x14ac:dyDescent="0.4">
      <c r="G10" s="24">
        <v>289</v>
      </c>
      <c r="H10" s="22" t="s">
        <v>145</v>
      </c>
      <c r="I10" s="22" t="s">
        <v>146</v>
      </c>
      <c r="J10" s="25" t="s">
        <v>147</v>
      </c>
    </row>
    <row r="11" spans="2:10" x14ac:dyDescent="0.4">
      <c r="G11" s="24">
        <v>361</v>
      </c>
      <c r="H11" s="22" t="s">
        <v>145</v>
      </c>
      <c r="I11" s="22" t="s">
        <v>149</v>
      </c>
      <c r="J11" s="25" t="s">
        <v>158</v>
      </c>
    </row>
    <row r="12" spans="2:10" x14ac:dyDescent="0.4">
      <c r="G12" s="24">
        <v>375</v>
      </c>
      <c r="H12" s="22" t="s">
        <v>145</v>
      </c>
      <c r="I12" s="22" t="s">
        <v>149</v>
      </c>
      <c r="J12" s="25" t="s">
        <v>158</v>
      </c>
    </row>
    <row r="13" spans="2:10" x14ac:dyDescent="0.4">
      <c r="G13" s="24">
        <v>380</v>
      </c>
      <c r="H13" s="22" t="s">
        <v>145</v>
      </c>
      <c r="I13" s="22" t="s">
        <v>149</v>
      </c>
      <c r="J13" s="25" t="s">
        <v>158</v>
      </c>
    </row>
    <row r="14" spans="2:10" x14ac:dyDescent="0.4">
      <c r="G14" s="24">
        <v>393</v>
      </c>
      <c r="H14" s="22" t="s">
        <v>145</v>
      </c>
      <c r="I14" s="22" t="s">
        <v>149</v>
      </c>
      <c r="J14" s="25" t="s">
        <v>158</v>
      </c>
    </row>
    <row r="15" spans="2:10" x14ac:dyDescent="0.4">
      <c r="G15" s="28">
        <v>402</v>
      </c>
      <c r="H15" s="22" t="s">
        <v>154</v>
      </c>
      <c r="I15" s="22" t="s">
        <v>149</v>
      </c>
      <c r="J15" s="25" t="s">
        <v>159</v>
      </c>
    </row>
    <row r="16" spans="2:10" x14ac:dyDescent="0.4">
      <c r="G16" s="24">
        <v>408</v>
      </c>
      <c r="H16" s="22" t="s">
        <v>154</v>
      </c>
      <c r="I16" s="22" t="s">
        <v>149</v>
      </c>
      <c r="J16" s="25" t="s">
        <v>158</v>
      </c>
    </row>
    <row r="17" spans="7:10" x14ac:dyDescent="0.4">
      <c r="G17" s="24">
        <v>424</v>
      </c>
      <c r="H17" s="22" t="s">
        <v>154</v>
      </c>
      <c r="I17" s="22" t="s">
        <v>149</v>
      </c>
      <c r="J17" s="25" t="s">
        <v>160</v>
      </c>
    </row>
    <row r="18" spans="7:10" x14ac:dyDescent="0.4">
      <c r="G18" s="24">
        <v>428</v>
      </c>
      <c r="H18" s="22" t="s">
        <v>154</v>
      </c>
      <c r="I18" s="22" t="s">
        <v>149</v>
      </c>
      <c r="J18" s="25" t="s">
        <v>161</v>
      </c>
    </row>
    <row r="19" spans="7:10" x14ac:dyDescent="0.4">
      <c r="G19" s="24">
        <v>449</v>
      </c>
      <c r="H19" s="22" t="s">
        <v>154</v>
      </c>
      <c r="I19" s="22" t="s">
        <v>149</v>
      </c>
      <c r="J19" s="25" t="s">
        <v>147</v>
      </c>
    </row>
    <row r="20" spans="7:10" x14ac:dyDescent="0.4">
      <c r="G20" s="24">
        <v>643</v>
      </c>
      <c r="H20" s="22" t="s">
        <v>162</v>
      </c>
      <c r="I20" s="22" t="s">
        <v>149</v>
      </c>
      <c r="J20" s="25" t="s">
        <v>158</v>
      </c>
    </row>
    <row r="21" spans="7:10" x14ac:dyDescent="0.4">
      <c r="G21" s="24">
        <v>843</v>
      </c>
      <c r="H21" s="22" t="s">
        <v>162</v>
      </c>
      <c r="I21" s="22" t="s">
        <v>145</v>
      </c>
      <c r="J21" s="25" t="s">
        <v>153</v>
      </c>
    </row>
    <row r="22" spans="7:10" x14ac:dyDescent="0.4">
      <c r="G22" s="24">
        <v>1401</v>
      </c>
      <c r="H22" s="22" t="s">
        <v>152</v>
      </c>
      <c r="I22" s="22" t="s">
        <v>149</v>
      </c>
      <c r="J22" s="25" t="s">
        <v>158</v>
      </c>
    </row>
    <row r="23" spans="7:10" x14ac:dyDescent="0.4">
      <c r="G23" s="24">
        <v>1445</v>
      </c>
      <c r="H23" s="22" t="s">
        <v>152</v>
      </c>
      <c r="I23" s="22" t="s">
        <v>149</v>
      </c>
      <c r="J23" s="25" t="s">
        <v>158</v>
      </c>
    </row>
    <row r="24" spans="7:10" x14ac:dyDescent="0.4">
      <c r="G24" s="24">
        <v>1447</v>
      </c>
      <c r="H24" s="22" t="s">
        <v>152</v>
      </c>
      <c r="I24" s="22" t="s">
        <v>149</v>
      </c>
      <c r="J24" s="25" t="s">
        <v>158</v>
      </c>
    </row>
    <row r="25" spans="7:10" x14ac:dyDescent="0.4">
      <c r="G25" s="24">
        <v>1495</v>
      </c>
      <c r="H25" s="22" t="s">
        <v>152</v>
      </c>
      <c r="I25" s="22" t="s">
        <v>149</v>
      </c>
      <c r="J25" s="25" t="s">
        <v>158</v>
      </c>
    </row>
    <row r="26" spans="7:10" x14ac:dyDescent="0.4">
      <c r="G26" s="24">
        <v>1516</v>
      </c>
      <c r="H26" s="22" t="s">
        <v>152</v>
      </c>
      <c r="I26" s="22" t="s">
        <v>146</v>
      </c>
      <c r="J26" s="25" t="s">
        <v>155</v>
      </c>
    </row>
    <row r="27" spans="7:10" x14ac:dyDescent="0.4">
      <c r="G27" s="24">
        <v>1618</v>
      </c>
      <c r="H27" s="22" t="s">
        <v>152</v>
      </c>
      <c r="I27" s="22" t="s">
        <v>149</v>
      </c>
      <c r="J27" s="25" t="s">
        <v>163</v>
      </c>
    </row>
    <row r="28" spans="7:10" x14ac:dyDescent="0.4">
      <c r="G28" s="29">
        <v>1712</v>
      </c>
      <c r="H28" s="26" t="s">
        <v>149</v>
      </c>
      <c r="I28" s="26" t="s">
        <v>146</v>
      </c>
      <c r="J28" s="27" t="s">
        <v>155</v>
      </c>
    </row>
  </sheetData>
  <mergeCells count="4">
    <mergeCell ref="B7:B8"/>
    <mergeCell ref="C7:C8"/>
    <mergeCell ref="D7:D8"/>
    <mergeCell ref="E7:E8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d768b8-4792-4fcf-8516-c82a23bb5480">
      <Terms xmlns="http://schemas.microsoft.com/office/infopath/2007/PartnerControls"/>
    </lcf76f155ced4ddcb4097134ff3c332f>
    <TaxCatchAll xmlns="a6502170-81ff-4459-af66-b27fc955c7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D721693775E4645B88310322DF8D464" ma:contentTypeVersion="13" ma:contentTypeDescription="새 문서를 만듭니다." ma:contentTypeScope="" ma:versionID="5bcb6bef1fcf12ca3b448e5bcb01f150">
  <xsd:schema xmlns:xsd="http://www.w3.org/2001/XMLSchema" xmlns:xs="http://www.w3.org/2001/XMLSchema" xmlns:p="http://schemas.microsoft.com/office/2006/metadata/properties" xmlns:ns2="68d768b8-4792-4fcf-8516-c82a23bb5480" xmlns:ns3="a6502170-81ff-4459-af66-b27fc955c7fe" targetNamespace="http://schemas.microsoft.com/office/2006/metadata/properties" ma:root="true" ma:fieldsID="e431da0b17ec848afc5b0cd349d07f8c" ns2:_="" ns3:_="">
    <xsd:import namespace="68d768b8-4792-4fcf-8516-c82a23bb5480"/>
    <xsd:import namespace="a6502170-81ff-4459-af66-b27fc955c7f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d768b8-4792-4fcf-8516-c82a23bb548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이미지 태그" ma:readOnly="false" ma:fieldId="{5cf76f15-5ced-4ddc-b409-7134ff3c332f}" ma:taxonomyMulti="true" ma:sspId="910b48b5-2889-4574-bf8a-c2c9d76d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02170-81ff-4459-af66-b27fc955c7f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b7b7117-1073-4e25-b0b7-e51ce6c48794}" ma:internalName="TaxCatchAll" ma:showField="CatchAllData" ma:web="a6502170-81ff-4459-af66-b27fc955c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9B34DF-9C91-4FBB-B854-BF7990249C78}">
  <ds:schemaRefs>
    <ds:schemaRef ds:uri="http://schemas.microsoft.com/office/infopath/2007/PartnerControls"/>
    <ds:schemaRef ds:uri="http://purl.org/dc/elements/1.1/"/>
    <ds:schemaRef ds:uri="a6502170-81ff-4459-af66-b27fc955c7fe"/>
    <ds:schemaRef ds:uri="http://www.w3.org/XML/1998/namespace"/>
    <ds:schemaRef ds:uri="http://purl.org/dc/terms/"/>
    <ds:schemaRef ds:uri="http://schemas.microsoft.com/office/2006/documentManagement/types"/>
    <ds:schemaRef ds:uri="68d768b8-4792-4fcf-8516-c82a23bb5480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9350388-DA91-4C20-96D4-EED9E03E57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5AE1BA-4B22-4542-9CBC-359991C742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d768b8-4792-4fcf-8516-c82a23bb5480"/>
    <ds:schemaRef ds:uri="a6502170-81ff-4459-af66-b27fc955c7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훈련결과</vt:lpstr>
      <vt:lpstr>230303 모델 훈련 결과 정리</vt:lpstr>
      <vt:lpstr>canva용</vt:lpstr>
      <vt:lpstr>OX대상</vt:lpstr>
      <vt:lpstr>훈련 ㄱ</vt:lpstr>
      <vt:lpstr>데이터셋</vt:lpstr>
      <vt:lpstr>하이퍼파라미터</vt:lpstr>
      <vt:lpstr>cvat 결과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여익수</cp:lastModifiedBy>
  <cp:revision/>
  <dcterms:created xsi:type="dcterms:W3CDTF">2023-02-09T04:26:30Z</dcterms:created>
  <dcterms:modified xsi:type="dcterms:W3CDTF">2023-03-03T00:16:58Z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0x0101005D721693775E4645B88310322DF8D464</vt:lpwstr>
  </property>
  <property fmtid="{D5CDD505-2E9C-101B-9397-08002B2CF9AE}" pid="3" name="MediaServiceImageTags">
    <vt:lpwstr/>
  </property>
</Properties>
</file>